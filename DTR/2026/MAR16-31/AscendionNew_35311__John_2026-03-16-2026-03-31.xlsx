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<sst xmlns="http://schemas.openxmlformats.org/spreadsheetml/2006/main" count="207" uniqueCount="120">
  <si>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</si>
  <si>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</si>
  <si>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</si>
  <si>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</si>
  <si>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</si>
  <si>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</si>
  <si>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</si>
  <si>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</si>
  <si>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</si>
  <si>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</si>
  <si>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</si>
  <si>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</si>
  <si>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</si>
  <si>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</si>
  <si>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</si>
  <si>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</si>
  <si>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</si>
  <si>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</si>
  <si>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</si>
  <si>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</si>
  <si>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</si>
  <si>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</si>
  <si>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</si>
  <si>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</si>
  <si>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</si>
  <si>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</si>
  <si>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</si>
  <si>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</si>
  <si>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</si>
  <si>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</si>
  <si>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</si>
  <si>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</si>
  <si>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</si>
  <si>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</si>
  <si>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</si>
  <si>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</si>
  <si>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</si>
  <si>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</si>
  <si>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</si>
  <si>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</si>
  <si>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</si>
  <si>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</si>
  <si>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</si>
  <si>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</si>
  <si>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</si>
  <si>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</si>
  <si>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</si>
  <si>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</si>
  <si>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</si>
  <si>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</si>
  <si>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</si>
  <si>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</si>
  <si>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</si>
  <si>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</si>
  <si>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</si>
  <si>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</si>
  <si>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</si>
  <si>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</si>
  <si>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</si>
  <si>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</si>
  <si>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</si>
  <si>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</si>
  <si>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</si>
  <si>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</si>
  <si>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</si>
  <si>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</si>
  <si>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</si>
  <si>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</si>
  <si>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</si>
  <si>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</si>
  <si>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</si>
  <si>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</si>
  <si>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</si>
  <si>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</si>
  <si>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</si>
  <si>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</si>
  <si>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</si>
  <si>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</si>
  <si>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</si>
  <si>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</si>
  <si>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</si>
  <si>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</si>
  <si>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</si>
  <si>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</si>
  <si>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</si>
  <si>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</si>
  <si>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</si>
  <si>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</si>
  <si>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</si>
  <si>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</si>
  <si>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</si>
  <si>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</si>
  <si>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</si>
  <si>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</si>
  <si>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</si>
  <si>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</si>
  <si>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</si>
  <si>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</si>
  <si>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</si>
  <si>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</si>
  <si>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</si>
  <si>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</si>
  <si>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</si>
  <si>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</si>
  <si>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</si>
  <si>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</si>
  <si>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</si>
  <si>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</si>
  <si>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</si>
  <si>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</si>
  <si>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Regular Holiday (Eid'l Fitr - Feast of Ramadan)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</si>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</sst>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85" workbookViewId="0">
      <selection pane="topLeft" activeCell="J40" activeCellId="0" sqref="J4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Mar 16-31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46097</v>
      </c>
      <c r="B14" s="80" t="str">
        <f aca="false">TEXT(WEEKDAY(A14),"ddd")</f>
        <v>Mon</v>
      </c>
      <c r="C14" s="81" t="s">
        <v>4</v>
      </c>
      <c r="D14" s="82" t="n">
        <v>0.354166666666667</v>
      </c>
      <c r="E14" s="79" t="n">
        <v>46097</v>
      </c>
      <c r="F14" s="82" t="n">
        <v>0.729166666666667</v>
      </c>
      <c r="G14" s="82" t="n">
        <v>0.354166666666667</v>
      </c>
      <c r="H14" s="82" t="n">
        <v>0.729166666666667</v>
      </c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 t="s">
        <v>2</v>
      </c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08:30 16-Mar-26</v>
      </c>
      <c r="AR14" s="89" t="str">
        <f aca="false">TEXT(G14,"HH:MM")&amp;" "&amp;TEXT(A14,"DD-mmm-YY")</f>
        <v>08:30 16-Mar-26</v>
      </c>
      <c r="AS14" s="60" t="str">
        <f aca="false">IF($AR$1&lt;D14,AR14,IF(AT14&lt;=AR14,AR14,AT14))</f>
        <v>22:00 16-Mar-26</v>
      </c>
      <c r="AT14" s="60" t="str">
        <f aca="false">IF(AND(D14&gt;=0,D14&lt;0.25),TEXT($AR$1,"HH:MM")&amp;" "&amp;TEXT((A14-1),"dd-mmm-yy"),TEXT($AR$1,"HH:MM")&amp;" "&amp;TEXT(A14,"dd-mmm-yy"))</f>
        <v>22:00 16-Mar-26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15-Mar-26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17-Mar-26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17:30 16-Mar-26</v>
      </c>
      <c r="BC14" s="60" t="str">
        <f aca="false">IF(N14="Flexi",TEXT(G14+$BC$1,"HH:MM")&amp;" "&amp;TEXT(E14,"DD-mmm-YY"),TEXT(F14,"HH:MM")&amp;" "&amp;TEXT(E14,"DD-mmm-YY"))</f>
        <v>17:30 16-Mar-26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17-Mar-26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17-Mar-26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17-Mar-26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46098</v>
      </c>
      <c r="B15" s="80" t="str">
        <f aca="false">TEXT(WEEKDAY(A15),"ddd")</f>
        <v>Tue</v>
      </c>
      <c r="C15" s="81" t="s">
        <v>4</v>
      </c>
      <c r="D15" s="82" t="n">
        <v>0.354166666666667</v>
      </c>
      <c r="E15" s="79" t="n">
        <v>46098</v>
      </c>
      <c r="F15" s="82" t="n">
        <v>0.729166666666667</v>
      </c>
      <c r="G15" s="82" t="n">
        <v>0.354166666666667</v>
      </c>
      <c r="H15" s="82" t="n">
        <v>0.729166666666667</v>
      </c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 t="s">
        <v>2</v>
      </c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08:30 17-Mar-26</v>
      </c>
      <c r="AR15" s="89" t="str">
        <f aca="false">TEXT(G15,"HH:MM")&amp;" "&amp;TEXT(A15,"DD-mmm-YY")</f>
        <v>08:30 17-Mar-26</v>
      </c>
      <c r="AS15" s="60" t="str">
        <f aca="false">IF($AR$1&lt;D15,AR15,IF(AT15&lt;=AR15,AR15,AT15))</f>
        <v>22:00 17-Mar-26</v>
      </c>
      <c r="AT15" s="60" t="str">
        <f aca="false">IF(AND(D15&gt;=0,D15&lt;0.25),TEXT($AR$1,"HH:MM")&amp;" "&amp;TEXT((A15-1),"dd-mmm-yy"),TEXT($AR$1,"HH:MM")&amp;" "&amp;TEXT(A15,"dd-mmm-yy"))</f>
        <v>22:00 17-Mar-26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16-Mar-26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18-Mar-26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17:30 17-Mar-26</v>
      </c>
      <c r="BC15" s="60" t="str">
        <f aca="false">IF(N15="Flexi",TEXT(G15+$BC$1,"HH:MM")&amp;" "&amp;TEXT(E15,"DD-mmm-YY"),TEXT(F15,"HH:MM")&amp;" "&amp;TEXT(E15,"DD-mmm-YY"))</f>
        <v>17:30 17-Mar-26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18-Mar-26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18-Mar-26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18-Mar-26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46099</v>
      </c>
      <c r="B16" s="80" t="str">
        <f aca="false">TEXT(WEEKDAY(A16),"ddd")</f>
        <v>Wed</v>
      </c>
      <c r="C16" s="81" t="s">
        <v>4</v>
      </c>
      <c r="D16" s="82" t="n">
        <v>0.354166666666667</v>
      </c>
      <c r="E16" s="79" t="n">
        <v>46099</v>
      </c>
      <c r="F16" s="82" t="n">
        <v>0.729166666666667</v>
      </c>
      <c r="G16" s="82" t="n">
        <v>0.354166666666667</v>
      </c>
      <c r="H16" s="82" t="n">
        <v>0.729166666666667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 t="s">
        <v>2</v>
      </c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18-Mar-26</v>
      </c>
      <c r="AR16" s="89" t="str">
        <f aca="false">TEXT(G16,"HH:MM")&amp;" "&amp;TEXT(A16,"DD-mmm-YY")</f>
        <v>08:30 18-Mar-26</v>
      </c>
      <c r="AS16" s="60" t="str">
        <f aca="false">IF($AR$1&lt;D16,AR16,IF(AT16&lt;=AR16,AR16,AT16))</f>
        <v>22:00 18-Mar-26</v>
      </c>
      <c r="AT16" s="60" t="str">
        <f aca="false">IF(AND(D16&gt;=0,D16&lt;0.25),TEXT($AR$1,"HH:MM")&amp;" "&amp;TEXT((A16-1),"dd-mmm-yy"),TEXT($AR$1,"HH:MM")&amp;" "&amp;TEXT(A16,"dd-mmm-yy"))</f>
        <v>22:00 18-Mar-26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17-Mar-26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19-Mar-26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17:30 18-Mar-26</v>
      </c>
      <c r="BC16" s="60" t="str">
        <f aca="false">IF(N16="Flexi",TEXT(G16+$BC$1,"HH:MM")&amp;" "&amp;TEXT(E16,"DD-mmm-YY"),TEXT(F16,"HH:MM")&amp;" "&amp;TEXT(E16,"DD-mmm-YY"))</f>
        <v>17:30 18-Mar-26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19-Mar-26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19-Mar-26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19-Mar-26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46100</v>
      </c>
      <c r="B17" s="80" t="str">
        <f aca="false">TEXT(WEEKDAY(A17),"ddd")</f>
        <v>Thu</v>
      </c>
      <c r="C17" s="81" t="s">
        <v>4</v>
      </c>
      <c r="D17" s="82" t="n">
        <v>0.354166666666667</v>
      </c>
      <c r="E17" s="79" t="n">
        <v>46100</v>
      </c>
      <c r="F17" s="82" t="n">
        <v>0.729166666666667</v>
      </c>
      <c r="G17" s="82" t="n">
        <v>0.354166666666667</v>
      </c>
      <c r="H17" s="82" t="n">
        <v>0.729166666666667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19-Mar-26</v>
      </c>
      <c r="AR17" s="89" t="str">
        <f aca="false">TEXT(G17,"HH:MM")&amp;" "&amp;TEXT(A17,"DD-mmm-YY")</f>
        <v>08:30 19-Mar-26</v>
      </c>
      <c r="AS17" s="60" t="str">
        <f aca="false">IF($AR$1&lt;D17,AR17,IF(AT17&lt;=AR17,AR17,AT17))</f>
        <v>22:00 19-Mar-26</v>
      </c>
      <c r="AT17" s="60" t="str">
        <f aca="false">IF(AND(D17&gt;=0,D17&lt;0.25),TEXT($AR$1,"HH:MM")&amp;" "&amp;TEXT((A17-1),"dd-mmm-yy"),TEXT($AR$1,"HH:MM")&amp;" "&amp;TEXT(A17,"dd-mmm-yy"))</f>
        <v>22:00 19-Mar-26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18-Mar-26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20-Mar-26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17:30 19-Mar-26</v>
      </c>
      <c r="BC17" s="60" t="str">
        <f aca="false">IF(N17="Flexi",TEXT(G17+$BC$1,"HH:MM")&amp;" "&amp;TEXT(E17,"DD-mmm-YY"),TEXT(F17,"HH:MM")&amp;" "&amp;TEXT(E17,"DD-mmm-YY"))</f>
        <v>17:30 19-Mar-26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20-Mar-26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20-Mar-26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20-Mar-26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46101</v>
      </c>
      <c r="B18" s="80" t="str">
        <f aca="false">TEXT(WEEKDAY(A18),"ddd")</f>
        <v>Fri</v>
      </c>
      <c r="C18" s="81" t="s">
        <v>17</v>
      </c>
      <c r="D18" s="82"/>
      <c r="E18" s="79" t="n">
        <v>46101</v>
      </c>
      <c r="F18" s="82"/>
      <c r="G18" s="82"/>
      <c r="H18" s="82"/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/>
      <c r="O18" s="85"/>
      <c r="P18" s="94"/>
      <c r="Q18" s="86" t="s">
        <v>110</v>
      </c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00:00 20-Mar-26</v>
      </c>
      <c r="AR18" s="89" t="str">
        <f aca="false">TEXT(G18,"HH:MM")&amp;" "&amp;TEXT(A18,"DD-mmm-YY")</f>
        <v>00:00 20-Mar-26</v>
      </c>
      <c r="AS18" s="60" t="str">
        <f aca="false">IF($AR$1&lt;D18,AR18,IF(AT18&lt;=AR18,AR18,AT18))</f>
        <v>22:00 19-Mar-26</v>
      </c>
      <c r="AT18" s="60" t="str">
        <f aca="false">IF(AND(D18&gt;=0,D18&lt;0.25),TEXT($AR$1,"HH:MM")&amp;" "&amp;TEXT((A18-1),"dd-mmm-yy"),TEXT($AR$1,"HH:MM")&amp;" "&amp;TEXT(A18,"dd-mmm-yy"))</f>
        <v>22:00 19-Mar-26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19-Mar-26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20-Mar-26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00:00 20-Mar-26</v>
      </c>
      <c r="BC18" s="60" t="str">
        <f aca="false">IF(N18="Flexi",TEXT(G18+$BC$1,"HH:MM")&amp;" "&amp;TEXT(E18,"DD-mmm-YY"),TEXT(F18,"HH:MM")&amp;" "&amp;TEXT(E18,"DD-mmm-YY"))</f>
        <v>00:00 20-Mar-26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19-Mar-26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21-Mar-26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21-Mar-26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46102</v>
      </c>
      <c r="B19" s="80" t="str">
        <f aca="false">TEXT(WEEKDAY(A19),"ddd")</f>
        <v>Sat</v>
      </c>
      <c r="C19" s="81" t="s">
        <v>19</v>
      </c>
      <c r="D19" s="82"/>
      <c r="E19" s="79" t="n">
        <v>46102</v>
      </c>
      <c r="F19" s="82"/>
      <c r="G19" s="82"/>
      <c r="H19" s="82"/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/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00:00 21-Mar-26</v>
      </c>
      <c r="AR19" s="89" t="str">
        <f aca="false">TEXT(G19,"HH:MM")&amp;" "&amp;TEXT(A19,"DD-mmm-YY")</f>
        <v>00:00 21-Mar-26</v>
      </c>
      <c r="AS19" s="60" t="str">
        <f aca="false">IF($AR$1&lt;D19,AR19,IF(AT19&lt;=AR19,AR19,AT19))</f>
        <v>22:00 20-Mar-26</v>
      </c>
      <c r="AT19" s="60" t="str">
        <f aca="false">IF(AND(D19&gt;=0,D19&lt;0.25),TEXT($AR$1,"HH:MM")&amp;" "&amp;TEXT((A19-1),"dd-mmm-yy"),TEXT($AR$1,"HH:MM")&amp;" "&amp;TEXT(A19,"dd-mmm-yy"))</f>
        <v>22:00 20-Mar-26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20-Mar-26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21-Mar-26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00:00 21-Mar-26</v>
      </c>
      <c r="BC19" s="60" t="str">
        <f aca="false">IF(N19="Flexi",TEXT(G19+$BC$1,"HH:MM")&amp;" "&amp;TEXT(E19,"DD-mmm-YY"),TEXT(F19,"HH:MM")&amp;" "&amp;TEXT(E19,"DD-mmm-YY"))</f>
        <v>00:00 21-Mar-26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20-Mar-26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22-Mar-26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22-Mar-26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46103</v>
      </c>
      <c r="B20" s="80" t="str">
        <f aca="false">TEXT(WEEKDAY(A20),"ddd")</f>
        <v>Sun</v>
      </c>
      <c r="C20" s="81" t="s">
        <v>19</v>
      </c>
      <c r="D20" s="82"/>
      <c r="E20" s="79" t="n">
        <v>46103</v>
      </c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22-Mar-26</v>
      </c>
      <c r="AR20" s="89" t="str">
        <f aca="false">TEXT(G20,"HH:MM")&amp;" "&amp;TEXT(A20,"DD-mmm-YY")</f>
        <v>00:00 22-Mar-26</v>
      </c>
      <c r="AS20" s="60" t="str">
        <f aca="false">IF($AR$1&lt;D20,AR20,IF(AT20&lt;=AR20,AR20,AT20))</f>
        <v>22:00 21-Mar-26</v>
      </c>
      <c r="AT20" s="60" t="str">
        <f aca="false">IF(AND(D20&gt;=0,D20&lt;0.25),TEXT($AR$1,"HH:MM")&amp;" "&amp;TEXT((A20-1),"dd-mmm-yy"),TEXT($AR$1,"HH:MM")&amp;" "&amp;TEXT(A20,"dd-mmm-yy"))</f>
        <v>22:00 21-Mar-26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21-Mar-26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22-Mar-26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22-Mar-26</v>
      </c>
      <c r="BC20" s="60" t="str">
        <f aca="false">IF(N20="Flexi",TEXT(G20+$BC$1,"HH:MM")&amp;" "&amp;TEXT(E20,"DD-mmm-YY"),TEXT(F20,"HH:MM")&amp;" "&amp;TEXT(E20,"DD-mmm-YY"))</f>
        <v>00:00 22-Mar-26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21-Mar-26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23-Mar-26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23-Mar-26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46104</v>
      </c>
      <c r="B21" s="80" t="str">
        <f aca="false">TEXT(WEEKDAY(A21),"ddd")</f>
        <v>Mon</v>
      </c>
      <c r="C21" s="81" t="s">
        <v>4</v>
      </c>
      <c r="D21" s="82" t="n">
        <v>0.354166666666667</v>
      </c>
      <c r="E21" s="79" t="n">
        <v>46104</v>
      </c>
      <c r="F21" s="82" t="n">
        <v>0.729166666666667</v>
      </c>
      <c r="G21" s="82" t="n">
        <v>0.354166666666667</v>
      </c>
      <c r="H21" s="82" t="n">
        <v>0.729166666666667</v>
      </c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 t="s">
        <v>2</v>
      </c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08:30 23-Mar-26</v>
      </c>
      <c r="AR21" s="89" t="str">
        <f aca="false">TEXT(G21,"HH:MM")&amp;" "&amp;TEXT(A21,"DD-mmm-YY")</f>
        <v>08:30 23-Mar-26</v>
      </c>
      <c r="AS21" s="60" t="str">
        <f aca="false">IF($AR$1&lt;D21,AR21,IF(AT21&lt;=AR21,AR21,AT21))</f>
        <v>22:00 23-Mar-26</v>
      </c>
      <c r="AT21" s="60" t="str">
        <f aca="false">IF(AND(D21&gt;=0,D21&lt;0.25),TEXT($AR$1,"HH:MM")&amp;" "&amp;TEXT((A21-1),"dd-mmm-yy"),TEXT($AR$1,"HH:MM")&amp;" "&amp;TEXT(A21,"dd-mmm-yy"))</f>
        <v>22:00 23-Mar-26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22-Mar-26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24-Mar-26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17:30 23-Mar-26</v>
      </c>
      <c r="BC21" s="60" t="str">
        <f aca="false">IF(N21="Flexi",TEXT(G21+$BC$1,"HH:MM")&amp;" "&amp;TEXT(E21,"DD-mmm-YY"),TEXT(F21,"HH:MM")&amp;" "&amp;TEXT(E21,"DD-mmm-YY"))</f>
        <v>17:30 23-Mar-26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24-Mar-26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24-Mar-26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24-Mar-26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46105</v>
      </c>
      <c r="B22" s="80" t="str">
        <f aca="false">TEXT(WEEKDAY(A22),"ddd")</f>
        <v>Tue</v>
      </c>
      <c r="C22" s="81" t="s">
        <v>4</v>
      </c>
      <c r="D22" s="82" t="n">
        <v>0.354166666666667</v>
      </c>
      <c r="E22" s="79" t="n">
        <v>46105</v>
      </c>
      <c r="F22" s="82" t="n">
        <v>0.729166666666667</v>
      </c>
      <c r="G22" s="82" t="n">
        <v>0.354166666666667</v>
      </c>
      <c r="H22" s="82" t="n">
        <v>0.729166666666667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 t="s">
        <v>2</v>
      </c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24-Mar-26</v>
      </c>
      <c r="AR22" s="89" t="str">
        <f aca="false">TEXT(G22,"HH:MM")&amp;" "&amp;TEXT(A22,"DD-mmm-YY")</f>
        <v>08:30 24-Mar-26</v>
      </c>
      <c r="AS22" s="60" t="str">
        <f aca="false">IF($AR$1&lt;D22,AR22,IF(AT22&lt;=AR22,AR22,AT22))</f>
        <v>22:00 24-Mar-26</v>
      </c>
      <c r="AT22" s="60" t="str">
        <f aca="false">IF(AND(D22&gt;=0,D22&lt;0.25),TEXT($AR$1,"HH:MM")&amp;" "&amp;TEXT((A22-1),"dd-mmm-yy"),TEXT($AR$1,"HH:MM")&amp;" "&amp;TEXT(A22,"dd-mmm-yy"))</f>
        <v>22:00 24-Mar-26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23-Mar-26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25-Mar-26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17:30 24-Mar-26</v>
      </c>
      <c r="BC22" s="60" t="str">
        <f aca="false">IF(N22="Flexi",TEXT(G22+$BC$1,"HH:MM")&amp;" "&amp;TEXT(E22,"DD-mmm-YY"),TEXT(F22,"HH:MM")&amp;" "&amp;TEXT(E22,"DD-mmm-YY"))</f>
        <v>17:30 24-Mar-26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25-Mar-26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25-Mar-26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25-Mar-26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46106</v>
      </c>
      <c r="B23" s="80" t="str">
        <f aca="false">TEXT(WEEKDAY(A23),"ddd")</f>
        <v>Wed</v>
      </c>
      <c r="C23" s="81" t="s">
        <v>4</v>
      </c>
      <c r="D23" s="82" t="n">
        <v>0.354166666666667</v>
      </c>
      <c r="E23" s="79" t="n">
        <v>46106</v>
      </c>
      <c r="F23" s="82" t="n">
        <v>0.729166666666667</v>
      </c>
      <c r="G23" s="82" t="n">
        <v>0.354166666666667</v>
      </c>
      <c r="H23" s="82" t="n">
        <v>0.729166666666667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25-Mar-26</v>
      </c>
      <c r="AR23" s="89" t="str">
        <f aca="false">TEXT(G23,"HH:MM")&amp;" "&amp;TEXT(A23,"DD-mmm-YY")</f>
        <v>08:30 25-Mar-26</v>
      </c>
      <c r="AS23" s="60" t="str">
        <f aca="false">IF($AR$1&lt;D23,AR23,IF(AT23&lt;=AR23,AR23,AT23))</f>
        <v>22:00 25-Mar-26</v>
      </c>
      <c r="AT23" s="60" t="str">
        <f aca="false">IF(AND(D23&gt;=0,D23&lt;0.25),TEXT($AR$1,"HH:MM")&amp;" "&amp;TEXT((A23-1),"dd-mmm-yy"),TEXT($AR$1,"HH:MM")&amp;" "&amp;TEXT(A23,"dd-mmm-yy"))</f>
        <v>22:00 25-Mar-26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24-Mar-26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26-Mar-26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17:30 25-Mar-26</v>
      </c>
      <c r="BC23" s="60" t="str">
        <f aca="false">IF(N23="Flexi",TEXT(G23+$BC$1,"HH:MM")&amp;" "&amp;TEXT(E23,"DD-mmm-YY"),TEXT(F23,"HH:MM")&amp;" "&amp;TEXT(E23,"DD-mmm-YY"))</f>
        <v>17:30 25-Mar-26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26-Mar-26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26-Mar-26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26-Mar-26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46107</v>
      </c>
      <c r="B24" s="80" t="str">
        <f aca="false">TEXT(WEEKDAY(A24),"ddd")</f>
        <v>Thu</v>
      </c>
      <c r="C24" s="81" t="s">
        <v>4</v>
      </c>
      <c r="D24" s="82" t="n">
        <v>0.354166666666667</v>
      </c>
      <c r="E24" s="79" t="n">
        <v>46107</v>
      </c>
      <c r="F24" s="82" t="n">
        <v>0.729166666666667</v>
      </c>
      <c r="G24" s="82" t="n">
        <v>0.354166666666667</v>
      </c>
      <c r="H24" s="82" t="n">
        <v>0.729166666666667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26-Mar-26</v>
      </c>
      <c r="AR24" s="89" t="str">
        <f aca="false">TEXT(G24,"HH:MM")&amp;" "&amp;TEXT(A24,"DD-mmm-YY")</f>
        <v>08:30 26-Mar-26</v>
      </c>
      <c r="AS24" s="60" t="str">
        <f aca="false">IF($AR$1&lt;D24,AR24,IF(AT24&lt;=AR24,AR24,AT24))</f>
        <v>22:00 26-Mar-26</v>
      </c>
      <c r="AT24" s="60" t="str">
        <f aca="false">IF(AND(D24&gt;=0,D24&lt;0.25),TEXT($AR$1,"HH:MM")&amp;" "&amp;TEXT((A24-1),"dd-mmm-yy"),TEXT($AR$1,"HH:MM")&amp;" "&amp;TEXT(A24,"dd-mmm-yy"))</f>
        <v>22:00 26-Mar-26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25-Mar-26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27-Mar-26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17:30 26-Mar-26</v>
      </c>
      <c r="BC24" s="60" t="str">
        <f aca="false">IF(N24="Flexi",TEXT(G24+$BC$1,"HH:MM")&amp;" "&amp;TEXT(E24,"DD-mmm-YY"),TEXT(F24,"HH:MM")&amp;" "&amp;TEXT(E24,"DD-mmm-YY"))</f>
        <v>17:30 26-Mar-26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27-Mar-26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27-Mar-26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27-Mar-26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46108</v>
      </c>
      <c r="B25" s="80" t="str">
        <f aca="false">TEXT(WEEKDAY(A25),"ddd")</f>
        <v>Fri</v>
      </c>
      <c r="C25" s="81" t="s">
        <v>4</v>
      </c>
      <c r="D25" s="82" t="n">
        <v>0.354166666666667</v>
      </c>
      <c r="E25" s="79" t="n">
        <v>46108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27-Mar-26</v>
      </c>
      <c r="AR25" s="89" t="str">
        <f aca="false">TEXT(G25,"HH:MM")&amp;" "&amp;TEXT(A25,"DD-mmm-YY")</f>
        <v>08:30 27-Mar-26</v>
      </c>
      <c r="AS25" s="60" t="str">
        <f aca="false">IF($AR$1&lt;D25,AR25,IF(AT25&lt;=AR25,AR25,AT25))</f>
        <v>22:00 27-Mar-26</v>
      </c>
      <c r="AT25" s="60" t="str">
        <f aca="false">IF(AND(D25&gt;=0,D25&lt;0.25),TEXT($AR$1,"HH:MM")&amp;" "&amp;TEXT((A25-1),"dd-mmm-yy"),TEXT($AR$1,"HH:MM")&amp;" "&amp;TEXT(A25,"dd-mmm-yy"))</f>
        <v>22:00 27-Mar-26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26-Mar-26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28-Mar-26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27-Mar-26</v>
      </c>
      <c r="BC25" s="60" t="str">
        <f aca="false">IF(N25="Flexi",TEXT(G25+$BC$1,"HH:MM")&amp;" "&amp;TEXT(E25,"DD-mmm-YY"),TEXT(F25,"HH:MM")&amp;" "&amp;TEXT(E25,"DD-mmm-YY"))</f>
        <v>17:30 27-Mar-26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28-Mar-26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28-Mar-26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28-Mar-26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46109</v>
      </c>
      <c r="B26" s="80" t="str">
        <f aca="false">TEXT(WEEKDAY(A26),"ddd")</f>
        <v>Sat</v>
      </c>
      <c r="C26" s="81" t="s">
        <v>19</v>
      </c>
      <c r="D26" s="82"/>
      <c r="E26" s="79" t="n">
        <v>46109</v>
      </c>
      <c r="F26" s="82"/>
      <c r="G26" s="82"/>
      <c r="H26" s="82"/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/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00:00 28-Mar-26</v>
      </c>
      <c r="AR26" s="89" t="str">
        <f aca="false">TEXT(G26,"HH:MM")&amp;" "&amp;TEXT(A26,"DD-mmm-YY")</f>
        <v>00:00 28-Mar-26</v>
      </c>
      <c r="AS26" s="60" t="str">
        <f aca="false">IF($AR$1&lt;D26,AR26,IF(AT26&lt;=AR26,AR26,AT26))</f>
        <v>22:00 27-Mar-26</v>
      </c>
      <c r="AT26" s="60" t="str">
        <f aca="false">IF(AND(D26&gt;=0,D26&lt;0.25),TEXT($AR$1,"HH:MM")&amp;" "&amp;TEXT((A26-1),"dd-mmm-yy"),TEXT($AR$1,"HH:MM")&amp;" "&amp;TEXT(A26,"dd-mmm-yy"))</f>
        <v>22:00 27-Mar-26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27-Mar-26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28-Mar-26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00:00 28-Mar-26</v>
      </c>
      <c r="BC26" s="60" t="str">
        <f aca="false">IF(N26="Flexi",TEXT(G26+$BC$1,"HH:MM")&amp;" "&amp;TEXT(E26,"DD-mmm-YY"),TEXT(F26,"HH:MM")&amp;" "&amp;TEXT(E26,"DD-mmm-YY"))</f>
        <v>00:00 28-Mar-26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27-Mar-26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29-Mar-26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29-Mar-26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46110</v>
      </c>
      <c r="B27" s="80" t="str">
        <f aca="false">TEXT(WEEKDAY(A27),"ddd")</f>
        <v>Sun</v>
      </c>
      <c r="C27" s="81" t="s">
        <v>19</v>
      </c>
      <c r="D27" s="82"/>
      <c r="E27" s="79" t="n">
        <v>46110</v>
      </c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29-Mar-26</v>
      </c>
      <c r="AR27" s="89" t="str">
        <f aca="false">TEXT(G27,"HH:MM")&amp;" "&amp;TEXT(A27,"DD-mmm-YY")</f>
        <v>00:00 29-Mar-26</v>
      </c>
      <c r="AS27" s="60" t="str">
        <f aca="false">IF($AR$1&lt;D27,AR27,IF(AT27&lt;=AR27,AR27,AT27))</f>
        <v>22:00 28-Mar-26</v>
      </c>
      <c r="AT27" s="60" t="str">
        <f aca="false">IF(AND(D27&gt;=0,D27&lt;0.25),TEXT($AR$1,"HH:MM")&amp;" "&amp;TEXT((A27-1),"dd-mmm-yy"),TEXT($AR$1,"HH:MM")&amp;" "&amp;TEXT(A27,"dd-mmm-yy"))</f>
        <v>22:00 28-Mar-26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28-Mar-26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29-Mar-26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29-Mar-26</v>
      </c>
      <c r="BC27" s="60" t="str">
        <f aca="false">IF(N27="Flexi",TEXT(G27+$BC$1,"HH:MM")&amp;" "&amp;TEXT(E27,"DD-mmm-YY"),TEXT(F27,"HH:MM")&amp;" "&amp;TEXT(E27,"DD-mmm-YY"))</f>
        <v>00:00 29-Mar-26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28-Mar-26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30-Mar-26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30-Mar-26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46111</v>
      </c>
      <c r="B28" s="80" t="str">
        <f aca="false">TEXT(WEEKDAY(A28),"ddd")</f>
        <v>Mon</v>
      </c>
      <c r="C28" s="81" t="s">
        <v>4</v>
      </c>
      <c r="D28" s="82" t="n">
        <v>0.354166666666667</v>
      </c>
      <c r="E28" s="79" t="n">
        <v>46111</v>
      </c>
      <c r="F28" s="82" t="n">
        <v>0.729166666666667</v>
      </c>
      <c r="G28" s="82" t="n">
        <v>0.354166666666667</v>
      </c>
      <c r="H28" s="82" t="n">
        <v>0.729166666666667</v>
      </c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 t="s">
        <v>2</v>
      </c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08:30 30-Mar-26</v>
      </c>
      <c r="AR28" s="89" t="str">
        <f aca="false">TEXT(G28,"HH:MM")&amp;" "&amp;TEXT(A28,"DD-mmm-YY")</f>
        <v>08:30 30-Mar-26</v>
      </c>
      <c r="AS28" s="60" t="str">
        <f aca="false">IF($AR$1&lt;D28,AR28,IF(AT28&lt;=AR28,AR28,AT28))</f>
        <v>22:00 30-Mar-26</v>
      </c>
      <c r="AT28" s="60" t="str">
        <f aca="false">IF(AND(D28&gt;=0,D28&lt;0.25),TEXT($AR$1,"HH:MM")&amp;" "&amp;TEXT((A28-1),"dd-mmm-yy"),TEXT($AR$1,"HH:MM")&amp;" "&amp;TEXT(A28,"dd-mmm-yy"))</f>
        <v>22:00 30-Mar-26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29-Mar-26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31-Mar-26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17:30 30-Mar-26</v>
      </c>
      <c r="BC28" s="60" t="str">
        <f aca="false">IF(N28="Flexi",TEXT(G28+$BC$1,"HH:MM")&amp;" "&amp;TEXT(E28,"DD-mmm-YY"),TEXT(F28,"HH:MM")&amp;" "&amp;TEXT(E28,"DD-mmm-YY"))</f>
        <v>17:30 30-Mar-26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31-Mar-26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31-Mar-26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31-Mar-26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false" customHeight="true" outlineLevel="0" collapsed="false">
      <c r="A29" s="79" t="n">
        <v>46112</v>
      </c>
      <c r="B29" s="80" t="str">
        <f aca="false">TEXT(WEEKDAY(A29),"ddd")</f>
        <v>Tue</v>
      </c>
      <c r="C29" s="81" t="s">
        <v>4</v>
      </c>
      <c r="D29" s="82" t="n">
        <v>0.354166666666667</v>
      </c>
      <c r="E29" s="79" t="n">
        <v>46112</v>
      </c>
      <c r="F29" s="82" t="n">
        <v>0.729166666666667</v>
      </c>
      <c r="G29" s="82" t="n">
        <v>0.354166666666667</v>
      </c>
      <c r="H29" s="82" t="n">
        <v>0.729166666666667</v>
      </c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 t="s">
        <v>2</v>
      </c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08:30 31-Mar-26</v>
      </c>
      <c r="AR29" s="89" t="str">
        <f aca="false">TEXT(G29,"HH:MM")&amp;" "&amp;TEXT(A29,"DD-mmm-YY")</f>
        <v>08:30 31-Mar-26</v>
      </c>
      <c r="AS29" s="60" t="str">
        <f aca="false">IF($AR$1&lt;D29,AR29,IF(AT29&lt;=AR29,AR29,AT29))</f>
        <v>22:00 31-Mar-26</v>
      </c>
      <c r="AT29" s="60" t="str">
        <f aca="false">IF(AND(D29&gt;=0,D29&lt;0.25),TEXT($AR$1,"HH:MM")&amp;" "&amp;TEXT((A29-1),"dd-mmm-yy"),TEXT($AR$1,"HH:MM")&amp;" "&amp;TEXT(A29,"dd-mmm-yy"))</f>
        <v>22:00 31-Mar-26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30-Mar-26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01-Apr-26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17:30 31-Mar-26</v>
      </c>
      <c r="BC29" s="60" t="str">
        <f aca="false">IF(N29="Flexi",TEXT(G29+$BC$1,"HH:MM")&amp;" "&amp;TEXT(E29,"DD-mmm-YY"),TEXT(F29,"HH:MM")&amp;" "&amp;TEXT(E29,"DD-mmm-YY"))</f>
        <v>17:30 31-Mar-26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01-Apr-26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01-Apr-26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01-Apr-26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46113</v>
      </c>
      <c r="B30" s="80" t="str">
        <f aca="false">TEXT(WEEKDAY(A30),"ddd")</f>
        <v>Wed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01-Apr-26</v>
      </c>
      <c r="AR30" s="89" t="str">
        <f aca="false">TEXT(G30,"HH:MM")&amp;" "&amp;TEXT(A30,"DD-mmm-YY")</f>
        <v>00:00 01-Apr-26</v>
      </c>
      <c r="AS30" s="60" t="str">
        <f aca="false">IF($AR$1&lt;D30,AR30,IF(AT30&lt;=AR30,AR30,AT30))</f>
        <v>22:00 31-Mar-26</v>
      </c>
      <c r="AT30" s="60" t="str">
        <f aca="false">IF(AND(D30&gt;=0,D30&lt;0.25),TEXT($AR$1,"HH:MM")&amp;" "&amp;TEXT((A30-1),"dd-mmm-yy"),TEXT($AR$1,"HH:MM")&amp;" "&amp;TEXT(A30,"dd-mmm-yy"))</f>
        <v>22:00 31-Mar-26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31-Mar-26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01-Apr-26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01-Apr-26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02-Apr-26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02-Apr-26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8" t="s">
        <v>111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21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21" hidden="false" customHeight="false" outlineLevel="0" collapsed="false">
      <c r="A34" s="102" t="s">
        <v>112</v>
      </c>
      <c r="C34" s="103" t="s">
        <v>113</v>
      </c>
      <c r="D34" s="103"/>
      <c r="E34" s="103"/>
      <c r="H34" s="102" t="s">
        <v>114</v>
      </c>
      <c r="I34" s="2"/>
      <c r="K34" s="103" t="s">
        <v>12</v>
      </c>
      <c r="L34" s="103"/>
      <c r="M34" s="103"/>
      <c r="N34" s="104"/>
    </row>
    <row r="35" customFormat="false" ht="21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115</v>
      </c>
      <c r="B37" s="107" t="s">
        <v>99</v>
      </c>
      <c r="C37" s="107" t="s">
        <v>100</v>
      </c>
      <c r="D37" s="107" t="s">
        <v>101</v>
      </c>
      <c r="E37" s="107" t="s">
        <v>116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117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118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119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0 Leaves -            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17D080-30B5-4576-B200-DF1A6A685752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b2b6e26-33a0-4af2-930c-0c419d3fa434"/>
    <ds:schemaRef ds:uri="b2eb7b80-a566-4a2c-a026-91b6d1eb6193"/>
    <ds:schemaRef ds:uri="61cd1ae9-add5-418b-ba01-b098e2ec3b0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1381DF9-C288-4DCA-9B9A-244C96F92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2026-04-14T15:35:20Z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