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</sheets>
  <definedNames>
    <definedName function="false" hidden="false" localSheetId="0" name="_xlnm.Print_Area" vbProcedure="false">Summary!$A$1:$Q$44</definedName>
    <definedName function="false" hidden="false" name="shift" vbProcedure="false">summary!#ref!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<sst xmlns="http://schemas.openxmlformats.org/spreadsheetml/2006/main" count="211" uniqueCount="121">
  <si>
    <t xml:space="preserve">Client Name</t>
  </si>
  <si>
    <t xml:space="preserve">RCBC</t>
  </si>
  <si>
    <t xml:space="preserve">Strict</t>
  </si>
  <si>
    <t xml:space="preserve">Remain Lates</t>
  </si>
  <si>
    <t xml:space="preserve">Normal</t>
  </si>
  <si>
    <t xml:space="preserve">Project Name</t>
  </si>
  <si>
    <t xml:space="preserve">Flexi</t>
  </si>
  <si>
    <t xml:space="preserve">Whole Lates</t>
  </si>
  <si>
    <t xml:space="preserve">Working - Rest Day</t>
  </si>
  <si>
    <t xml:space="preserve">Employee ID</t>
  </si>
  <si>
    <t xml:space="preserve">Special Holiday</t>
  </si>
  <si>
    <t xml:space="preserve">Employee Name</t>
  </si>
  <si>
    <t xml:space="preserve">John Christian Alvarez</t>
  </si>
  <si>
    <t xml:space="preserve">Special Holiday on RD</t>
  </si>
  <si>
    <t xml:space="preserve">Timesheet Month</t>
  </si>
  <si>
    <t xml:space="preserve">Working - Special Holiday on RD</t>
  </si>
  <si>
    <t xml:space="preserve">Working - Legal Holiday on RD</t>
  </si>
  <si>
    <t xml:space="preserve">Legal Holiday</t>
  </si>
  <si>
    <t xml:space="preserve">Legal Holiday on RD</t>
  </si>
  <si>
    <t xml:space="preserve">Rest Day</t>
  </si>
  <si>
    <t xml:space="preserve">Leave</t>
  </si>
  <si>
    <t xml:space="preserve">Swipe in Date</t>
  </si>
  <si>
    <t xml:space="preserve">DAY</t>
  </si>
  <si>
    <t xml:space="preserve">Attendance</t>
  </si>
  <si>
    <t xml:space="preserve">Shift Schedule in Time</t>
  </si>
  <si>
    <t xml:space="preserve">Swipe out Date</t>
  </si>
  <si>
    <t xml:space="preserve">Shift Schedule out Time</t>
  </si>
  <si>
    <t xml:space="preserve">Regular Shift Time</t>
  </si>
  <si>
    <t xml:space="preserve">Total No of Hours</t>
  </si>
  <si>
    <t xml:space="preserve">OVERTIME</t>
  </si>
  <si>
    <t xml:space="preserve">Shift Schedule(Strict/Flexi)</t>
  </si>
  <si>
    <t xml:space="preserve">Grace Period(In Mins)</t>
  </si>
  <si>
    <t xml:space="preserve">Grace Period Type</t>
  </si>
  <si>
    <t xml:space="preserve">Remarks/Leaves</t>
  </si>
  <si>
    <t xml:space="preserve">First 8 Hours</t>
  </si>
  <si>
    <t xml:space="preserve">OT Hours</t>
  </si>
  <si>
    <t xml:space="preserve">OTND Hours</t>
  </si>
  <si>
    <t xml:space="preserve">Night Diff Hours</t>
  </si>
  <si>
    <t xml:space="preserve">CF hours - After 12 AM</t>
  </si>
  <si>
    <t xml:space="preserve">CF hours - Before 12 AM</t>
  </si>
  <si>
    <t xml:space="preserve">Working </t>
  </si>
  <si>
    <t xml:space="preserve">Deduction-REG</t>
  </si>
  <si>
    <t xml:space="preserve">Add-REG</t>
  </si>
  <si>
    <t xml:space="preserve">Deduction-OT</t>
  </si>
  <si>
    <t xml:space="preserve">Add-OT</t>
  </si>
  <si>
    <t xml:space="preserve">Deduction-OTND</t>
  </si>
  <si>
    <t xml:space="preserve">Add-OTND</t>
  </si>
  <si>
    <t xml:space="preserve">Deduction-ND</t>
  </si>
  <si>
    <t xml:space="preserve">Add-ND</t>
  </si>
  <si>
    <t xml:space="preserve">IN</t>
  </si>
  <si>
    <t xml:space="preserve">OUT</t>
  </si>
  <si>
    <t xml:space="preserve">OT IN</t>
  </si>
  <si>
    <t xml:space="preserve">OT Swipe In Date</t>
  </si>
  <si>
    <t xml:space="preserve">OT OUT</t>
  </si>
  <si>
    <t xml:space="preserve">OT Swipe Out Date</t>
  </si>
  <si>
    <t xml:space="preserve">Reg Hours</t>
  </si>
  <si>
    <t xml:space="preserve">Late Hours</t>
  </si>
  <si>
    <t xml:space="preserve">Rest Day Hours</t>
  </si>
  <si>
    <t xml:space="preserve">Legal Holiday Hours</t>
  </si>
  <si>
    <t xml:space="preserve">Special Holiday Hours</t>
  </si>
  <si>
    <t xml:space="preserve">Legal Holiday RD Hours</t>
  </si>
  <si>
    <t xml:space="preserve">Special Holiday RD Hours</t>
  </si>
  <si>
    <t xml:space="preserve">Rest Day OT Hours</t>
  </si>
  <si>
    <t xml:space="preserve">Legal Holiday OT Hours</t>
  </si>
  <si>
    <t xml:space="preserve">Special Holiday OT Hours</t>
  </si>
  <si>
    <t xml:space="preserve">Legal Holiday RD OT Hours</t>
  </si>
  <si>
    <t xml:space="preserve">Special Holiday RD OT Hours</t>
  </si>
  <si>
    <t xml:space="preserve">Rest Day OTND Hours</t>
  </si>
  <si>
    <t xml:space="preserve">Legal Holiday OTND Hours</t>
  </si>
  <si>
    <t xml:space="preserve">Special Holiday OTND Hours</t>
  </si>
  <si>
    <t xml:space="preserve">Legal Holiday RD OTND Hours</t>
  </si>
  <si>
    <t xml:space="preserve">Special Holiday RD OTND Hours</t>
  </si>
  <si>
    <t xml:space="preserve">ND Hours</t>
  </si>
  <si>
    <t xml:space="preserve">Rest Day ND Hours</t>
  </si>
  <si>
    <t xml:space="preserve">Legal Holiday ND Hours</t>
  </si>
  <si>
    <t xml:space="preserve">Special Holiday ND Hours</t>
  </si>
  <si>
    <t xml:space="preserve">Legal Holiday RD ND Hours</t>
  </si>
  <si>
    <t xml:space="preserve">Special Holiday RD ND Hours</t>
  </si>
  <si>
    <t xml:space="preserve">Swipe Time In</t>
  </si>
  <si>
    <t xml:space="preserve">Actual Time In</t>
  </si>
  <si>
    <t xml:space="preserve">ND Time IN(Working)</t>
  </si>
  <si>
    <t xml:space="preserve">ND Time IN(Working1)</t>
  </si>
  <si>
    <t xml:space="preserve">ND Time IN</t>
  </si>
  <si>
    <t xml:space="preserve">OT Time IN</t>
  </si>
  <si>
    <t xml:space="preserve">OT Time IN(Working)</t>
  </si>
  <si>
    <t xml:space="preserve">OT Time Out</t>
  </si>
  <si>
    <t xml:space="preserve">OT Time Out(Working)</t>
  </si>
  <si>
    <t xml:space="preserve">Actual Time Out</t>
  </si>
  <si>
    <t xml:space="preserve">Swipe Time Out</t>
  </si>
  <si>
    <t xml:space="preserve">Shift Actual Out Time</t>
  </si>
  <si>
    <t xml:space="preserve">ND Time Out</t>
  </si>
  <si>
    <t xml:space="preserve">Time Out-ND</t>
  </si>
  <si>
    <t xml:space="preserve">Working</t>
  </si>
  <si>
    <t xml:space="preserve">DateIN</t>
  </si>
  <si>
    <t xml:space="preserve">OTND In</t>
  </si>
  <si>
    <t xml:space="preserve">Time in - OTND</t>
  </si>
  <si>
    <t xml:space="preserve">DateOut</t>
  </si>
  <si>
    <t xml:space="preserve">OTND Out</t>
  </si>
  <si>
    <t xml:space="preserve">Time Out - OTND</t>
  </si>
  <si>
    <t xml:space="preserve">REG</t>
  </si>
  <si>
    <t xml:space="preserve">ND</t>
  </si>
  <si>
    <t xml:space="preserve">OT</t>
  </si>
  <si>
    <t xml:space="preserve">OTND</t>
  </si>
  <si>
    <t xml:space="preserve">Late</t>
  </si>
  <si>
    <t xml:space="preserve">Overall Hours</t>
  </si>
  <si>
    <t xml:space="preserve">RD</t>
  </si>
  <si>
    <t xml:space="preserve">LH</t>
  </si>
  <si>
    <t xml:space="preserve">SH</t>
  </si>
  <si>
    <t xml:space="preserve">LH on RD</t>
  </si>
  <si>
    <t xml:space="preserve">SH on RD</t>
  </si>
  <si>
    <t xml:space="preserve">10 regular working hours – compressed work schedule</t>
  </si>
  <si>
    <t xml:space="preserve">Sick Leave</t>
  </si>
  <si>
    <t xml:space="preserve">Total Hours</t>
  </si>
  <si>
    <t xml:space="preserve">Noted by:</t>
  </si>
  <si>
    <t xml:space="preserve">Andre Christian Villareal</t>
  </si>
  <si>
    <t xml:space="preserve">Prepared by:</t>
  </si>
  <si>
    <t xml:space="preserve">****</t>
  </si>
  <si>
    <t xml:space="preserve">OT with ND</t>
  </si>
  <si>
    <t xml:space="preserve">RD on LH</t>
  </si>
  <si>
    <t xml:space="preserve">RD on SH</t>
  </si>
  <si>
    <t xml:space="preserve">Leaves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</si>
</sst>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_(* #,##0.00_);_(* \(#,##0.00\);_(* \-??_);_(@_)"/>
    <numFmt numFmtId="166" formatCode="_-* #,##0.00_-;\-* #,##0.00_-;_-* \-??_-;_-@_-"/>
    <numFmt numFmtId="167" formatCode="h:mm"/>
    <numFmt numFmtId="168" formatCode="h:mm\ AM/PM"/>
    <numFmt numFmtId="169" formatCode="d\-mmm\-yy"/>
    <numFmt numFmtId="170" formatCode="m/d/yyyy"/>
    <numFmt numFmtId="171" formatCode="mmm\-yy"/>
    <numFmt numFmtId="172" formatCode="d\-mmm"/>
    <numFmt numFmtId="173" formatCode="[$-409]d\-mmm\-yy;@"/>
    <numFmt numFmtId="174" formatCode="m/d/yyyy\ h:mm"/>
    <numFmt numFmtId="175" formatCode="h:mm;@"/>
    <numFmt numFmtId="176" formatCode="_(* #,##0.00_);_(* \(#,##0.00\);_(* \-??_);_(@_)"/>
    <numFmt numFmtId="177" formatCode="[$-F400]h:mm:ss\ AM/PM"/>
    <numFmt numFmtId="178" formatCode="h:mm\ dd\-mmm\-yy"/>
    <numFmt numFmtId="179" formatCode="h:mm\ mm/dd/yy"/>
  </numFmts>
  <fonts count="23">
    <font>
      <sz val="1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1"/>
      <name val="Calibri"/>
      <family val="2"/>
      <charset val="1"/>
    </font>
    <font>
      <b val="true"/>
      <sz val="12"/>
      <name val="Calibri"/>
      <family val="2"/>
      <charset val="1"/>
    </font>
    <font>
      <sz val="12"/>
      <name val="Calibri"/>
      <family val="2"/>
      <charset val="1"/>
    </font>
    <font>
      <sz val="10.5"/>
      <name val="Calibri"/>
      <family val="2"/>
      <charset val="1"/>
    </font>
    <font>
      <b val="true"/>
      <sz val="10.5"/>
      <name val="Calibri"/>
      <family val="2"/>
      <charset val="1"/>
    </font>
    <font>
      <sz val="10.5"/>
      <color theme="8" tint="-0.25"/>
      <name val="Calibri"/>
      <family val="2"/>
      <charset val="1"/>
    </font>
    <font>
      <sz val="11"/>
      <color theme="8" tint="-0.25"/>
      <name val="Calibri"/>
      <family val="2"/>
      <charset val="1"/>
    </font>
    <font>
      <sz val="11.5"/>
      <name val="Calibri"/>
      <family val="2"/>
      <charset val="1"/>
    </font>
    <font>
      <b val="true"/>
      <sz val="11.5"/>
      <name val="Calibri"/>
      <family val="2"/>
      <charset val="1"/>
    </font>
    <font>
      <sz val="10.5"/>
      <color theme="1"/>
      <name val="Calibri"/>
      <family val="2"/>
      <charset val="1"/>
    </font>
    <font>
      <b val="true"/>
      <sz val="10.5"/>
      <color theme="1"/>
      <name val="Calibri"/>
      <family val="2"/>
      <charset val="1"/>
    </font>
    <font>
      <sz val="10.5"/>
      <name val="Arial"/>
      <family val="2"/>
      <charset val="1"/>
    </font>
    <font>
      <sz val="10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6"/>
      <name val="Calibri"/>
      <family val="2"/>
      <charset val="1"/>
    </font>
    <font>
      <b val="true"/>
      <sz val="11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theme="3" tint="0.7999"/>
        <bgColor rgb="FFDCE6F2"/>
      </patternFill>
    </fill>
    <fill>
      <patternFill patternType="solid">
        <fgColor theme="8" tint="0.3999"/>
        <bgColor rgb="FF8EB4E3"/>
      </patternFill>
    </fill>
    <fill>
      <patternFill patternType="solid">
        <fgColor theme="7" tint="0.3999"/>
        <bgColor rgb="FF969696"/>
      </patternFill>
    </fill>
    <fill>
      <patternFill patternType="solid">
        <fgColor theme="6" tint="0.3999"/>
        <bgColor rgb="FFD7E4BD"/>
      </patternFill>
    </fill>
    <fill>
      <patternFill patternType="solid">
        <fgColor theme="5" tint="0.3999"/>
        <bgColor rgb="FFFF99CC"/>
      </patternFill>
    </fill>
    <fill>
      <patternFill patternType="solid">
        <fgColor theme="6" tint="0.5999"/>
        <bgColor rgb="FFDCE6F2"/>
      </patternFill>
    </fill>
    <fill>
      <patternFill patternType="solid">
        <fgColor theme="2" tint="-0.5"/>
        <bgColor rgb="FF969696"/>
      </patternFill>
    </fill>
    <fill>
      <patternFill patternType="solid">
        <fgColor theme="3" tint="0.5999"/>
        <bgColor rgb="FF93CDDD"/>
      </patternFill>
    </fill>
    <fill>
      <patternFill patternType="solid">
        <fgColor theme="6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theme="4" tint="0.7999"/>
        <bgColor rgb="FFC6D9F1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double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1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7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9" fontId="1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0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3" fillId="0" borderId="0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3" fontId="10" fillId="12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5" fontId="10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0" fillId="0" borderId="1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0" fillId="12" borderId="1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9" fillId="0" borderId="1" xfId="2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10" fillId="0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8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9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0" fillId="0" borderId="1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9" fillId="0" borderId="1" xfId="2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7" fontId="10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19" fillId="0" borderId="1" xfId="21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19" fillId="0" borderId="1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21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2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7" fillId="0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7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3" xfId="21"/>
    <cellStyle name="Normal 2" xfId="22"/>
    <cellStyle name="Normal 2 2" xfId="23"/>
    <cellStyle name="Normal 3" xfId="24"/>
  </cellStyles>
  <dxfs count="7"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C3D69B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3D69B"/>
      <rgbColor rgb="FF948A54"/>
      <rgbColor rgb="FF8EB4E3"/>
      <rgbColor rgb="FF993366"/>
      <rgbColor rgb="FFFFFFCC"/>
      <rgbColor rgb="FFDCE6F2"/>
      <rgbColor rgb="FF660066"/>
      <rgbColor rgb="FFD99694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3CDDD"/>
      <rgbColor rgb="FFFF99CC"/>
      <rgbColor rgb="FFB3A2C7"/>
      <rgbColor rgb="FFFFC7CE"/>
      <rgbColor rgb="FF3366FF"/>
      <rgbColor rgb="FF33CCCC"/>
      <rgbColor rgb="FF9BBB59"/>
      <rgbColor rgb="FFFFCC00"/>
      <rgbColor rgb="FFFF9900"/>
      <rgbColor rgb="FFFF6600"/>
      <rgbColor rgb="FF666699"/>
      <rgbColor rgb="FF969696"/>
      <rgbColor rgb="FF003366"/>
      <rgbColor rgb="FF31859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S4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85" workbookViewId="0">
      <selection pane="topLeft" activeCell="Q24" activeCellId="0" sqref="Q24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1" width="16.6"/>
    <col collapsed="false" customWidth="true" hidden="false" outlineLevel="0" max="2" min="2" style="2" width="9.6"/>
    <col collapsed="false" customWidth="true" hidden="false" outlineLevel="0" max="3" min="3" style="1" width="18.9"/>
    <col collapsed="false" customWidth="true" hidden="false" outlineLevel="0" max="4" min="4" style="1" width="9.4"/>
    <col collapsed="false" customWidth="true" hidden="false" outlineLevel="0" max="5" min="5" style="1" width="12.1"/>
    <col collapsed="false" customWidth="true" hidden="false" outlineLevel="0" max="6" min="6" style="1" width="10.4"/>
    <col collapsed="false" customWidth="true" hidden="false" outlineLevel="0" max="7" min="7" style="1" width="11"/>
    <col collapsed="false" customWidth="true" hidden="false" outlineLevel="0" max="8" min="8" style="1" width="11.5"/>
    <col collapsed="false" customWidth="true" hidden="true" outlineLevel="0" max="9" min="9" style="3" width="8.6"/>
    <col collapsed="false" customWidth="true" hidden="false" outlineLevel="0" max="10" min="10" style="1" width="7.9"/>
    <col collapsed="false" customWidth="true" hidden="false" outlineLevel="0" max="11" min="11" style="1" width="10.9"/>
    <col collapsed="false" customWidth="true" hidden="false" outlineLevel="0" max="12" min="12" style="1" width="10.1"/>
    <col collapsed="false" customWidth="true" hidden="false" outlineLevel="0" max="13" min="13" style="1" width="11.1"/>
    <col collapsed="false" customWidth="true" hidden="false" outlineLevel="0" max="14" min="14" style="1" width="12.1"/>
    <col collapsed="false" customWidth="true" hidden="false" outlineLevel="0" max="15" min="15" style="1" width="10.5"/>
    <col collapsed="false" customWidth="true" hidden="false" outlineLevel="0" max="16" min="16" style="1" width="10.1"/>
    <col collapsed="false" customWidth="true" hidden="false" outlineLevel="0" max="17" min="17" style="1" width="39.2"/>
    <col collapsed="false" customWidth="true" hidden="false" outlineLevel="0" max="18" min="18" style="1" width="8.5"/>
    <col collapsed="false" customWidth="true" hidden="false" outlineLevel="0" max="19" min="19" style="1" width="8.9"/>
    <col collapsed="false" customWidth="true" hidden="false" outlineLevel="0" max="20" min="20" style="1" width="8.5"/>
    <col collapsed="false" customWidth="true" hidden="false" outlineLevel="0" max="22" min="21" style="1" width="8.6"/>
    <col collapsed="false" customWidth="true" hidden="false" outlineLevel="0" max="24" min="23" style="1" width="8.5"/>
    <col collapsed="false" customWidth="true" hidden="false" outlineLevel="0" max="25" min="25" style="1" width="8.4"/>
    <col collapsed="false" customWidth="true" hidden="false" outlineLevel="0" max="26" min="26" style="1" width="8.5"/>
    <col collapsed="false" customWidth="true" hidden="false" outlineLevel="0" max="28" min="27" style="1" width="8.1"/>
    <col collapsed="false" customWidth="true" hidden="false" outlineLevel="0" max="30" min="29" style="1" width="8.6"/>
    <col collapsed="false" customWidth="true" hidden="false" outlineLevel="0" max="31" min="31" style="1" width="8.5"/>
    <col collapsed="false" customWidth="true" hidden="false" outlineLevel="0" max="32" min="32" style="1" width="8.6"/>
    <col collapsed="false" customWidth="true" hidden="false" outlineLevel="0" max="33" min="33" style="1" width="10"/>
    <col collapsed="false" customWidth="true" hidden="false" outlineLevel="0" max="34" min="34" style="1" width="10.4"/>
    <col collapsed="false" customWidth="true" hidden="false" outlineLevel="0" max="35" min="35" style="1" width="9.6"/>
    <col collapsed="false" customWidth="true" hidden="false" outlineLevel="0" max="36" min="36" style="1" width="10"/>
    <col collapsed="false" customWidth="true" hidden="false" outlineLevel="0" max="37" min="37" style="1" width="9.4"/>
    <col collapsed="false" customWidth="true" hidden="false" outlineLevel="0" max="40" min="38" style="1" width="8.6"/>
    <col collapsed="false" customWidth="false" hidden="false" outlineLevel="0" max="42" min="41" style="1" width="9"/>
    <col collapsed="false" customWidth="true" hidden="true" outlineLevel="0" max="44" min="43" style="1" width="13.5"/>
    <col collapsed="false" customWidth="true" hidden="true" outlineLevel="0" max="45" min="45" style="1" width="19"/>
    <col collapsed="false" customWidth="true" hidden="true" outlineLevel="0" max="46" min="46" style="1" width="13.5"/>
    <col collapsed="false" customWidth="true" hidden="true" outlineLevel="0" max="47" min="47" style="1" width="14.1"/>
    <col collapsed="false" customWidth="true" hidden="true" outlineLevel="0" max="49" min="48" style="1" width="13.5"/>
    <col collapsed="false" customWidth="true" hidden="true" outlineLevel="0" max="50" min="50" style="1" width="14.1"/>
    <col collapsed="false" customWidth="true" hidden="true" outlineLevel="0" max="52" min="51" style="1" width="13.5"/>
    <col collapsed="false" customWidth="true" hidden="true" outlineLevel="0" max="53" min="53" style="1" width="14.1"/>
    <col collapsed="false" customWidth="true" hidden="true" outlineLevel="0" max="54" min="54" style="1" width="13.4"/>
    <col collapsed="false" customWidth="true" hidden="true" outlineLevel="0" max="56" min="55" style="1" width="13.6"/>
    <col collapsed="false" customWidth="true" hidden="true" outlineLevel="0" max="58" min="57" style="1" width="13.5"/>
    <col collapsed="false" customWidth="true" hidden="true" outlineLevel="0" max="59" min="59" style="1" width="7.4"/>
    <col collapsed="false" customWidth="true" hidden="true" outlineLevel="0" max="65" min="60" style="1" width="13.5"/>
    <col collapsed="false" customWidth="true" hidden="true" outlineLevel="0" max="66" min="66" style="1" width="13.1"/>
    <col collapsed="false" customWidth="false" hidden="true" outlineLevel="0" max="76" min="67" style="1" width="9"/>
    <col collapsed="false" customWidth="true" hidden="true" outlineLevel="0" max="77" min="77" style="1" width="9.1"/>
    <col collapsed="false" customWidth="false" hidden="true" outlineLevel="0" max="123" min="78" style="1" width="9"/>
    <col collapsed="false" customWidth="false" hidden="false" outlineLevel="0" max="16384" min="124" style="1" width="9"/>
  </cols>
  <sheetData>
    <row r="1" s="6" customFormat="true" ht="15" hidden="false" customHeight="false" outlineLevel="0" collapsed="false">
      <c r="A1" s="4" t="s">
        <v>0</v>
      </c>
      <c r="B1" s="5" t="s">
        <v>1</v>
      </c>
      <c r="C1" s="5"/>
      <c r="D1" s="5"/>
      <c r="E1" s="5"/>
      <c r="G1" s="7"/>
      <c r="H1" s="8"/>
      <c r="I1" s="9"/>
      <c r="J1" s="9"/>
      <c r="U1" s="10"/>
      <c r="V1" s="10"/>
      <c r="W1" s="10"/>
      <c r="X1" s="10"/>
      <c r="AL1" s="11"/>
      <c r="AM1" s="11"/>
      <c r="AN1" s="11"/>
      <c r="AO1" s="11"/>
      <c r="AP1" s="11"/>
      <c r="AQ1" s="6" t="s">
        <v>2</v>
      </c>
      <c r="AR1" s="12" t="n">
        <v>0.916666666666667</v>
      </c>
      <c r="AS1" s="6" t="s">
        <v>3</v>
      </c>
      <c r="AT1" s="6" t="s">
        <v>4</v>
      </c>
      <c r="AU1" s="11"/>
      <c r="AV1" s="13"/>
      <c r="BB1" s="10"/>
      <c r="BC1" s="7" t="n">
        <v>0.375</v>
      </c>
      <c r="BN1" s="14" t="n">
        <v>0.375</v>
      </c>
      <c r="BO1" s="15"/>
      <c r="BP1" s="15"/>
      <c r="BQ1" s="15"/>
      <c r="BZ1" s="16"/>
    </row>
    <row r="2" s="6" customFormat="true" ht="15" hidden="false" customHeight="false" outlineLevel="0" collapsed="false">
      <c r="A2" s="4" t="s">
        <v>5</v>
      </c>
      <c r="B2" s="5"/>
      <c r="C2" s="5"/>
      <c r="D2" s="5"/>
      <c r="E2" s="5"/>
      <c r="G2" s="7"/>
      <c r="H2" s="8"/>
      <c r="I2" s="9"/>
      <c r="J2" s="9"/>
      <c r="T2" s="10"/>
      <c r="U2" s="10"/>
      <c r="V2" s="10"/>
      <c r="W2" s="10"/>
      <c r="X2" s="10"/>
      <c r="AL2" s="11"/>
      <c r="AM2" s="11"/>
      <c r="AN2" s="11"/>
      <c r="AO2" s="11"/>
      <c r="AP2" s="11"/>
      <c r="AQ2" s="6" t="s">
        <v>6</v>
      </c>
      <c r="AR2" s="12" t="n">
        <v>0.25</v>
      </c>
      <c r="AS2" s="6" t="s">
        <v>7</v>
      </c>
      <c r="AT2" s="6" t="s">
        <v>8</v>
      </c>
      <c r="AU2" s="7"/>
      <c r="AV2" s="7"/>
      <c r="AW2" s="7"/>
      <c r="BB2" s="10"/>
      <c r="BC2" s="17"/>
      <c r="BD2" s="17"/>
      <c r="BN2" s="15"/>
      <c r="BO2" s="15"/>
      <c r="BP2" s="15"/>
      <c r="BQ2" s="15"/>
      <c r="BZ2" s="16"/>
    </row>
    <row r="3" s="6" customFormat="true" ht="15" hidden="false" customHeight="false" outlineLevel="0" collapsed="false">
      <c r="A3" s="4" t="s">
        <v>9</v>
      </c>
      <c r="B3" s="5" t="n">
        <v>35311</v>
      </c>
      <c r="C3" s="5"/>
      <c r="D3" s="5"/>
      <c r="E3" s="5"/>
      <c r="F3" s="18"/>
      <c r="G3" s="7"/>
      <c r="I3" s="9"/>
      <c r="L3" s="19"/>
      <c r="M3" s="19"/>
      <c r="N3" s="19"/>
      <c r="O3" s="19"/>
      <c r="P3" s="19"/>
      <c r="Q3" s="20"/>
      <c r="R3" s="21"/>
      <c r="S3" s="21"/>
      <c r="AR3" s="11"/>
      <c r="AT3" s="6" t="s">
        <v>10</v>
      </c>
      <c r="BB3" s="8"/>
      <c r="BC3" s="17"/>
      <c r="BD3" s="17"/>
      <c r="BN3" s="15"/>
      <c r="BO3" s="15"/>
      <c r="BP3" s="15"/>
      <c r="BZ3" s="16"/>
    </row>
    <row r="4" s="6" customFormat="true" ht="15" hidden="false" customHeight="false" outlineLevel="0" collapsed="false">
      <c r="A4" s="4" t="s">
        <v>11</v>
      </c>
      <c r="B4" s="5" t="s">
        <v>12</v>
      </c>
      <c r="C4" s="5"/>
      <c r="D4" s="5"/>
      <c r="E4" s="5"/>
      <c r="F4" s="22"/>
      <c r="G4" s="23"/>
      <c r="H4" s="7"/>
      <c r="I4" s="16"/>
      <c r="L4" s="19"/>
      <c r="M4" s="19"/>
      <c r="N4" s="19"/>
      <c r="O4" s="19"/>
      <c r="P4" s="19"/>
      <c r="Q4" s="19"/>
      <c r="R4" s="21"/>
      <c r="S4" s="21"/>
      <c r="V4" s="10"/>
      <c r="AT4" s="6" t="s">
        <v>13</v>
      </c>
      <c r="BM4" s="9"/>
      <c r="BN4" s="24"/>
      <c r="BO4" s="15"/>
      <c r="BP4" s="15"/>
      <c r="BZ4" s="16"/>
    </row>
    <row r="5" s="6" customFormat="true" ht="15" hidden="false" customHeight="false" outlineLevel="0" collapsed="false">
      <c r="A5" s="4" t="s">
        <v>14</v>
      </c>
      <c r="B5" s="25" t="str">
        <f aca="false">IF(AND("Feb"=TEXT(A14,"MMM"),"16"=TEXT(A14,"D")),"Feb 16-28",IF(TEXT(A29,"D")="16",TEXT(A14,"MMM")&amp;" "&amp;TEXT(A14,"D")&amp;"-"&amp;TEXT(A28,"D"),IF(TEXT(A14,"MMM")=TEXT(A29,"MMM"),TEXT(A14,"MMM")&amp;" "&amp;TEXT(A14,"D")&amp;"-"&amp;TEXT(A29,"D"),TEXT(A14,"MMM")&amp;" "&amp;TEXT(A14,"D")&amp;"-"&amp;TEXT(A28,"D"))))&amp;" "&amp;"Period"</f>
        <v>Jun 16-30 Period</v>
      </c>
      <c r="C5" s="25"/>
      <c r="D5" s="25"/>
      <c r="E5" s="25"/>
      <c r="F5" s="18"/>
      <c r="G5" s="10"/>
      <c r="I5" s="16"/>
      <c r="K5" s="10"/>
      <c r="L5" s="19"/>
      <c r="M5" s="19"/>
      <c r="N5" s="19"/>
      <c r="O5" s="19"/>
      <c r="P5" s="19"/>
      <c r="Q5" s="19"/>
      <c r="R5" s="21"/>
      <c r="S5" s="21"/>
      <c r="AT5" s="6" t="s">
        <v>15</v>
      </c>
      <c r="AV5" s="7"/>
      <c r="AY5" s="8"/>
      <c r="AZ5" s="7"/>
      <c r="BZ5" s="16"/>
    </row>
    <row r="6" s="6" customFormat="true" ht="14.25" hidden="true" customHeight="false" outlineLevel="0" collapsed="false">
      <c r="A6" s="9"/>
      <c r="B6" s="26"/>
      <c r="C6" s="27"/>
      <c r="D6" s="27"/>
      <c r="E6" s="27"/>
      <c r="F6" s="18"/>
      <c r="G6" s="10"/>
      <c r="I6" s="16"/>
      <c r="L6" s="19"/>
      <c r="M6" s="19"/>
      <c r="N6" s="19"/>
      <c r="O6" s="19"/>
      <c r="P6" s="19"/>
      <c r="Q6" s="19"/>
      <c r="R6" s="21"/>
      <c r="S6" s="21"/>
      <c r="AT6" s="6" t="s">
        <v>16</v>
      </c>
      <c r="BZ6" s="16"/>
    </row>
    <row r="7" s="6" customFormat="true" ht="14.25" hidden="true" customHeight="false" outlineLevel="0" collapsed="false">
      <c r="A7" s="9"/>
      <c r="B7" s="26"/>
      <c r="C7" s="27"/>
      <c r="D7" s="27"/>
      <c r="E7" s="27"/>
      <c r="F7" s="18"/>
      <c r="G7" s="10"/>
      <c r="I7" s="16"/>
      <c r="L7" s="19"/>
      <c r="M7" s="19"/>
      <c r="N7" s="19"/>
      <c r="O7" s="19"/>
      <c r="P7" s="19"/>
      <c r="Q7" s="19"/>
      <c r="R7" s="21"/>
      <c r="S7" s="21"/>
      <c r="AT7" s="6" t="s">
        <v>17</v>
      </c>
      <c r="BZ7" s="16"/>
    </row>
    <row r="8" s="32" customFormat="true" ht="15" hidden="true" customHeight="false" outlineLevel="0" collapsed="false">
      <c r="A8" s="9"/>
      <c r="B8" s="28"/>
      <c r="C8" s="29"/>
      <c r="D8" s="29"/>
      <c r="E8" s="29"/>
      <c r="F8" s="30"/>
      <c r="G8" s="31"/>
      <c r="I8" s="33"/>
      <c r="L8" s="34"/>
      <c r="M8" s="34"/>
      <c r="N8" s="34"/>
      <c r="O8" s="34"/>
      <c r="P8" s="34"/>
      <c r="Q8" s="34"/>
      <c r="R8" s="35"/>
      <c r="S8" s="35"/>
      <c r="AT8" s="6" t="s">
        <v>18</v>
      </c>
      <c r="AU8" s="36"/>
      <c r="AV8" s="36"/>
      <c r="BC8" s="37"/>
      <c r="BD8" s="37"/>
      <c r="BG8" s="37"/>
      <c r="BZ8" s="16"/>
    </row>
    <row r="9" s="32" customFormat="true" ht="15" hidden="true" customHeight="false" outlineLevel="0" collapsed="false">
      <c r="A9" s="9"/>
      <c r="B9" s="28"/>
      <c r="C9" s="29"/>
      <c r="D9" s="29"/>
      <c r="E9" s="29"/>
      <c r="F9" s="30"/>
      <c r="G9" s="31"/>
      <c r="I9" s="33"/>
      <c r="L9" s="34"/>
      <c r="M9" s="34"/>
      <c r="N9" s="34"/>
      <c r="O9" s="34"/>
      <c r="P9" s="34"/>
      <c r="Q9" s="34"/>
      <c r="R9" s="35"/>
      <c r="S9" s="35"/>
      <c r="AT9" s="6" t="s">
        <v>19</v>
      </c>
      <c r="AU9" s="36"/>
      <c r="AV9" s="36"/>
      <c r="BC9" s="37"/>
      <c r="BD9" s="37"/>
      <c r="BG9" s="37"/>
      <c r="BQ9" s="37"/>
      <c r="BZ9" s="16"/>
    </row>
    <row r="10" customFormat="false" ht="15" hidden="false" customHeight="true" outlineLevel="0" collapsed="false">
      <c r="A10" s="38"/>
      <c r="AT10" s="6" t="s">
        <v>20</v>
      </c>
      <c r="AY10" s="39"/>
      <c r="BC10" s="39"/>
      <c r="BD10" s="39"/>
      <c r="BE10" s="39"/>
      <c r="BF10" s="40"/>
      <c r="BZ10" s="16"/>
    </row>
    <row r="11" s="6" customFormat="true" ht="14.25" hidden="false" customHeight="true" outlineLevel="0" collapsed="false">
      <c r="A11" s="41" t="s">
        <v>21</v>
      </c>
      <c r="B11" s="42" t="s">
        <v>22</v>
      </c>
      <c r="C11" s="41" t="s">
        <v>23</v>
      </c>
      <c r="D11" s="41" t="s">
        <v>24</v>
      </c>
      <c r="E11" s="41" t="s">
        <v>25</v>
      </c>
      <c r="F11" s="41" t="s">
        <v>26</v>
      </c>
      <c r="G11" s="43" t="s">
        <v>27</v>
      </c>
      <c r="H11" s="43"/>
      <c r="I11" s="44" t="s">
        <v>28</v>
      </c>
      <c r="J11" s="45" t="s">
        <v>29</v>
      </c>
      <c r="K11" s="45"/>
      <c r="L11" s="45"/>
      <c r="M11" s="45"/>
      <c r="N11" s="44" t="s">
        <v>30</v>
      </c>
      <c r="O11" s="46" t="s">
        <v>31</v>
      </c>
      <c r="P11" s="46" t="s">
        <v>32</v>
      </c>
      <c r="Q11" s="47" t="s">
        <v>33</v>
      </c>
      <c r="R11" s="48" t="s">
        <v>34</v>
      </c>
      <c r="S11" s="48"/>
      <c r="T11" s="48"/>
      <c r="U11" s="48"/>
      <c r="V11" s="48"/>
      <c r="W11" s="48"/>
      <c r="X11" s="48"/>
      <c r="Y11" s="49" t="s">
        <v>35</v>
      </c>
      <c r="Z11" s="49"/>
      <c r="AA11" s="49"/>
      <c r="AB11" s="49"/>
      <c r="AC11" s="49"/>
      <c r="AD11" s="49"/>
      <c r="AE11" s="48" t="s">
        <v>36</v>
      </c>
      <c r="AF11" s="48"/>
      <c r="AG11" s="48"/>
      <c r="AH11" s="48"/>
      <c r="AI11" s="48"/>
      <c r="AJ11" s="48"/>
      <c r="AK11" s="49" t="s">
        <v>37</v>
      </c>
      <c r="AL11" s="49"/>
      <c r="AM11" s="49"/>
      <c r="AN11" s="49"/>
      <c r="AO11" s="49"/>
      <c r="AP11" s="49"/>
      <c r="AV11" s="50"/>
      <c r="AW11" s="50"/>
      <c r="AX11" s="50"/>
      <c r="AY11" s="50"/>
      <c r="AZ11" s="50"/>
      <c r="BN11" s="51" t="s">
        <v>38</v>
      </c>
      <c r="BO11" s="51"/>
      <c r="BP11" s="51"/>
      <c r="BQ11" s="51"/>
      <c r="BR11" s="52" t="s">
        <v>39</v>
      </c>
      <c r="BS11" s="52"/>
      <c r="BT11" s="52"/>
      <c r="BU11" s="52"/>
      <c r="BV11" s="53" t="s">
        <v>40</v>
      </c>
      <c r="BW11" s="53"/>
      <c r="BX11" s="54" t="s">
        <v>41</v>
      </c>
      <c r="BY11" s="54"/>
      <c r="BZ11" s="54"/>
      <c r="CA11" s="54"/>
      <c r="CB11" s="54"/>
      <c r="CC11" s="54"/>
      <c r="CD11" s="54" t="s">
        <v>42</v>
      </c>
      <c r="CE11" s="54"/>
      <c r="CF11" s="54"/>
      <c r="CG11" s="54"/>
      <c r="CH11" s="54"/>
      <c r="CI11" s="54"/>
      <c r="CJ11" s="54" t="s">
        <v>43</v>
      </c>
      <c r="CK11" s="54"/>
      <c r="CL11" s="54"/>
      <c r="CM11" s="54"/>
      <c r="CN11" s="54"/>
      <c r="CO11" s="54"/>
      <c r="CP11" s="54" t="s">
        <v>44</v>
      </c>
      <c r="CQ11" s="54"/>
      <c r="CR11" s="54"/>
      <c r="CS11" s="54"/>
      <c r="CT11" s="54"/>
      <c r="CU11" s="54"/>
      <c r="CV11" s="54" t="s">
        <v>45</v>
      </c>
      <c r="CW11" s="54"/>
      <c r="CX11" s="54"/>
      <c r="CY11" s="54"/>
      <c r="CZ11" s="54"/>
      <c r="DA11" s="54"/>
      <c r="DB11" s="52" t="s">
        <v>46</v>
      </c>
      <c r="DC11" s="52"/>
      <c r="DD11" s="52"/>
      <c r="DE11" s="52"/>
      <c r="DF11" s="52"/>
      <c r="DG11" s="52"/>
      <c r="DH11" s="54" t="s">
        <v>47</v>
      </c>
      <c r="DI11" s="54"/>
      <c r="DJ11" s="54"/>
      <c r="DK11" s="54"/>
      <c r="DL11" s="54"/>
      <c r="DM11" s="54"/>
      <c r="DN11" s="52" t="s">
        <v>48</v>
      </c>
      <c r="DO11" s="52"/>
      <c r="DP11" s="52"/>
      <c r="DQ11" s="52"/>
      <c r="DR11" s="52"/>
      <c r="DS11" s="52"/>
    </row>
    <row r="12" s="6" customFormat="true" ht="46.25" hidden="false" customHeight="false" outlineLevel="0" collapsed="false">
      <c r="A12" s="41"/>
      <c r="B12" s="42"/>
      <c r="C12" s="41"/>
      <c r="D12" s="41"/>
      <c r="E12" s="41"/>
      <c r="F12" s="41"/>
      <c r="G12" s="47" t="s">
        <v>49</v>
      </c>
      <c r="H12" s="47" t="s">
        <v>50</v>
      </c>
      <c r="I12" s="44"/>
      <c r="J12" s="55" t="s">
        <v>51</v>
      </c>
      <c r="K12" s="55" t="s">
        <v>52</v>
      </c>
      <c r="L12" s="55" t="s">
        <v>53</v>
      </c>
      <c r="M12" s="55" t="s">
        <v>54</v>
      </c>
      <c r="N12" s="44"/>
      <c r="O12" s="46"/>
      <c r="P12" s="46"/>
      <c r="Q12" s="47"/>
      <c r="R12" s="56" t="s">
        <v>55</v>
      </c>
      <c r="S12" s="56" t="s">
        <v>56</v>
      </c>
      <c r="T12" s="56" t="s">
        <v>57</v>
      </c>
      <c r="U12" s="56" t="s">
        <v>58</v>
      </c>
      <c r="V12" s="56" t="s">
        <v>59</v>
      </c>
      <c r="W12" s="56" t="s">
        <v>60</v>
      </c>
      <c r="X12" s="56" t="s">
        <v>61</v>
      </c>
      <c r="Y12" s="57" t="s">
        <v>35</v>
      </c>
      <c r="Z12" s="57" t="s">
        <v>62</v>
      </c>
      <c r="AA12" s="57" t="s">
        <v>63</v>
      </c>
      <c r="AB12" s="57" t="s">
        <v>64</v>
      </c>
      <c r="AC12" s="57" t="s">
        <v>65</v>
      </c>
      <c r="AD12" s="57" t="s">
        <v>66</v>
      </c>
      <c r="AE12" s="44" t="s">
        <v>36</v>
      </c>
      <c r="AF12" s="44" t="s">
        <v>67</v>
      </c>
      <c r="AG12" s="44" t="s">
        <v>68</v>
      </c>
      <c r="AH12" s="44" t="s">
        <v>69</v>
      </c>
      <c r="AI12" s="44" t="s">
        <v>70</v>
      </c>
      <c r="AJ12" s="44" t="s">
        <v>71</v>
      </c>
      <c r="AK12" s="58" t="s">
        <v>72</v>
      </c>
      <c r="AL12" s="58" t="s">
        <v>73</v>
      </c>
      <c r="AM12" s="58" t="s">
        <v>74</v>
      </c>
      <c r="AN12" s="58" t="s">
        <v>75</v>
      </c>
      <c r="AO12" s="58" t="s">
        <v>76</v>
      </c>
      <c r="AP12" s="58" t="s">
        <v>77</v>
      </c>
      <c r="AQ12" s="59" t="s">
        <v>78</v>
      </c>
      <c r="AR12" s="60" t="s">
        <v>79</v>
      </c>
      <c r="AS12" s="59" t="s">
        <v>80</v>
      </c>
      <c r="AT12" s="59" t="s">
        <v>81</v>
      </c>
      <c r="AU12" s="60" t="s">
        <v>82</v>
      </c>
      <c r="AV12" s="60" t="s">
        <v>83</v>
      </c>
      <c r="AW12" s="61" t="s">
        <v>84</v>
      </c>
      <c r="AX12" s="62" t="s">
        <v>83</v>
      </c>
      <c r="AY12" s="60" t="s">
        <v>85</v>
      </c>
      <c r="AZ12" s="61" t="s">
        <v>86</v>
      </c>
      <c r="BA12" s="62" t="s">
        <v>85</v>
      </c>
      <c r="BB12" s="60" t="s">
        <v>87</v>
      </c>
      <c r="BC12" s="60" t="s">
        <v>88</v>
      </c>
      <c r="BD12" s="59" t="s">
        <v>89</v>
      </c>
      <c r="BE12" s="60" t="s">
        <v>90</v>
      </c>
      <c r="BF12" s="59" t="s">
        <v>91</v>
      </c>
      <c r="BG12" s="61" t="s">
        <v>92</v>
      </c>
      <c r="BH12" s="63" t="s">
        <v>93</v>
      </c>
      <c r="BI12" s="63" t="s">
        <v>94</v>
      </c>
      <c r="BJ12" s="59" t="s">
        <v>95</v>
      </c>
      <c r="BK12" s="63" t="s">
        <v>96</v>
      </c>
      <c r="BL12" s="63" t="s">
        <v>97</v>
      </c>
      <c r="BM12" s="59" t="s">
        <v>98</v>
      </c>
      <c r="BN12" s="63" t="s">
        <v>99</v>
      </c>
      <c r="BO12" s="63" t="s">
        <v>100</v>
      </c>
      <c r="BP12" s="63" t="s">
        <v>101</v>
      </c>
      <c r="BQ12" s="63" t="s">
        <v>102</v>
      </c>
      <c r="BR12" s="63" t="s">
        <v>99</v>
      </c>
      <c r="BS12" s="63" t="s">
        <v>100</v>
      </c>
      <c r="BT12" s="63" t="s">
        <v>101</v>
      </c>
      <c r="BU12" s="63" t="s">
        <v>102</v>
      </c>
      <c r="BV12" s="63" t="s">
        <v>103</v>
      </c>
      <c r="BW12" s="64" t="s">
        <v>104</v>
      </c>
      <c r="BX12" s="65" t="s">
        <v>99</v>
      </c>
      <c r="BY12" s="65" t="s">
        <v>105</v>
      </c>
      <c r="BZ12" s="65" t="s">
        <v>106</v>
      </c>
      <c r="CA12" s="65" t="s">
        <v>107</v>
      </c>
      <c r="CB12" s="65" t="s">
        <v>108</v>
      </c>
      <c r="CC12" s="65" t="s">
        <v>109</v>
      </c>
      <c r="CD12" s="65" t="s">
        <v>99</v>
      </c>
      <c r="CE12" s="65" t="s">
        <v>105</v>
      </c>
      <c r="CF12" s="65" t="s">
        <v>106</v>
      </c>
      <c r="CG12" s="65" t="s">
        <v>107</v>
      </c>
      <c r="CH12" s="65" t="s">
        <v>108</v>
      </c>
      <c r="CI12" s="65" t="s">
        <v>109</v>
      </c>
      <c r="CJ12" s="65" t="s">
        <v>99</v>
      </c>
      <c r="CK12" s="65" t="s">
        <v>105</v>
      </c>
      <c r="CL12" s="65" t="s">
        <v>106</v>
      </c>
      <c r="CM12" s="65" t="s">
        <v>107</v>
      </c>
      <c r="CN12" s="65" t="s">
        <v>108</v>
      </c>
      <c r="CO12" s="65" t="s">
        <v>109</v>
      </c>
      <c r="CP12" s="65" t="s">
        <v>99</v>
      </c>
      <c r="CQ12" s="65" t="s">
        <v>105</v>
      </c>
      <c r="CR12" s="65" t="s">
        <v>106</v>
      </c>
      <c r="CS12" s="65" t="s">
        <v>107</v>
      </c>
      <c r="CT12" s="65" t="s">
        <v>108</v>
      </c>
      <c r="CU12" s="65" t="s">
        <v>109</v>
      </c>
      <c r="CV12" s="65" t="s">
        <v>99</v>
      </c>
      <c r="CW12" s="65" t="s">
        <v>105</v>
      </c>
      <c r="CX12" s="65" t="s">
        <v>106</v>
      </c>
      <c r="CY12" s="65" t="s">
        <v>107</v>
      </c>
      <c r="CZ12" s="65" t="s">
        <v>108</v>
      </c>
      <c r="DA12" s="65" t="s">
        <v>109</v>
      </c>
      <c r="DB12" s="66" t="s">
        <v>99</v>
      </c>
      <c r="DC12" s="66" t="s">
        <v>105</v>
      </c>
      <c r="DD12" s="66" t="s">
        <v>106</v>
      </c>
      <c r="DE12" s="66" t="s">
        <v>107</v>
      </c>
      <c r="DF12" s="66" t="s">
        <v>108</v>
      </c>
      <c r="DG12" s="66" t="s">
        <v>109</v>
      </c>
      <c r="DH12" s="65" t="s">
        <v>99</v>
      </c>
      <c r="DI12" s="65" t="s">
        <v>105</v>
      </c>
      <c r="DJ12" s="65" t="s">
        <v>106</v>
      </c>
      <c r="DK12" s="65" t="s">
        <v>107</v>
      </c>
      <c r="DL12" s="65" t="s">
        <v>108</v>
      </c>
      <c r="DM12" s="65" t="s">
        <v>109</v>
      </c>
      <c r="DN12" s="66" t="s">
        <v>99</v>
      </c>
      <c r="DO12" s="66" t="s">
        <v>105</v>
      </c>
      <c r="DP12" s="66" t="s">
        <v>106</v>
      </c>
      <c r="DQ12" s="66" t="s">
        <v>107</v>
      </c>
      <c r="DR12" s="66" t="s">
        <v>108</v>
      </c>
      <c r="DS12" s="66" t="s">
        <v>109</v>
      </c>
    </row>
    <row r="13" customFormat="false" ht="16.5" hidden="false" customHeight="true" outlineLevel="0" collapsed="false">
      <c r="A13" s="67"/>
      <c r="B13" s="68"/>
      <c r="C13" s="69"/>
      <c r="D13" s="69"/>
      <c r="E13" s="69"/>
      <c r="F13" s="69"/>
      <c r="G13" s="69"/>
      <c r="H13" s="70"/>
      <c r="I13" s="71"/>
      <c r="J13" s="72"/>
      <c r="K13" s="72"/>
      <c r="L13" s="72"/>
      <c r="M13" s="3"/>
      <c r="N13" s="3"/>
      <c r="O13" s="3"/>
      <c r="P13" s="3"/>
      <c r="Q13" s="3"/>
      <c r="R13" s="3"/>
      <c r="S13" s="3"/>
      <c r="V13" s="73"/>
      <c r="AK13" s="73"/>
      <c r="AS13" s="74"/>
      <c r="AV13" s="75"/>
      <c r="AY13" s="3"/>
      <c r="AZ13" s="76"/>
      <c r="BA13" s="39"/>
      <c r="BC13" s="77"/>
      <c r="BJ13" s="9"/>
      <c r="BN13" s="78"/>
      <c r="BP13" s="73"/>
    </row>
    <row r="14" s="6" customFormat="true" ht="14.25" hidden="false" customHeight="true" outlineLevel="0" collapsed="false">
      <c r="A14" s="79" t="n">
        <v>46189</v>
      </c>
      <c r="B14" s="80" t="str">
        <f aca="false">TEXT(WEEKDAY(A14),"ddd")</f>
        <v>Tue</v>
      </c>
      <c r="C14" s="81" t="s">
        <v>4</v>
      </c>
      <c r="D14" s="82" t="n">
        <v>0.354166666666667</v>
      </c>
      <c r="E14" s="79" t="n">
        <v>46189</v>
      </c>
      <c r="F14" s="82" t="n">
        <v>0.8125</v>
      </c>
      <c r="G14" s="82" t="n">
        <v>0.354166666666667</v>
      </c>
      <c r="H14" s="82" t="n">
        <v>0.8125</v>
      </c>
      <c r="I14" s="83" t="n">
        <f aca="false">IFERROR(IF(N14="Strict",IF(C14="Normal",IFERROR(IF((HOUR(IF(AQ14&lt;=AR14,BB14-AR14,BB14-AQ14))+MINUTE(IF(AQ14&lt;=AR14,BB14-AR14,BB14-AQ14))/60)&gt;=6,HOUR(IF(AQ14&lt;=AR14,BB14-AR14,BB14-AQ14))+MINUTE(IF(AQ14&lt;=AR14,BB14-AR14,BB14-AQ14))/60-1,HOUR(IF(AQ14&lt;=AR14,BB14-AR14,BB14-AQ14))+MINUTE(IF(AQ14&lt;=AR14,BB14-AR14,BB14-AQ14))/60),0),0),IF(N14="Flexi",IF(C14="Normal",IF((HOUR(BB14-AR14)+MINUTE(BB14-AR14)/60)&gt;=6,(HOUR(BB14-AR14)+MINUTE(BB14-AR14)/60)-1,(HOUR(BB14-AR14)+MINUTE(BB14-AR14)/60)),0),0)),0)</f>
        <v>0</v>
      </c>
      <c r="J14" s="82"/>
      <c r="K14" s="79"/>
      <c r="L14" s="84"/>
      <c r="M14" s="79"/>
      <c r="N14" s="79" t="s">
        <v>2</v>
      </c>
      <c r="O14" s="85"/>
      <c r="P14" s="85"/>
      <c r="Q14" s="86" t="s">
        <v>110</v>
      </c>
      <c r="R14" s="87" t="n">
        <f aca="false">IF(AND(C14="Normal",I14&gt;0),(8-S14),0)-IF(AND(C14="Normal",OR(C15="Special Holiday",C15="Working - Legal Holiday on RD",C15="Working - Special Holiday on RD",C15="Legal Holiday",C15="Legal Holiday on RD",C15="Special Holiday on RD")),BN14,0)+IF(AND(OR(C14="Normal",C14="Leave",C14="Rest Day"),OR(C13="Special Holiday",C13="Working - Legal Holiday on RD",C13="Working - Special Holiday on RD",C13="Legal Holiday")),BN13,0)</f>
        <v>0</v>
      </c>
      <c r="S14" s="87" t="n">
        <f aca="false">IF(C14="Normal",IF(P14="Remain Lates",(IFERROR(IF(N14="Strict",IF(C14="Normal",IF(AQ14&lt;=AR14,HOUR(AR14-AQ14)+(MINUTE(AR14-AQ14)/60),0)+IF(BB14&lt;=BC14,HOUR(BC14-BB14)+(MINUTE(BC14-BB14)/60),0),0),IF(I14=0,0,(8-I14))),0)-(O14/60)),IF((O14/60)&gt;=IFERROR(IF(N14="Strict",IF(C14="Normal",IF(AQ14&lt;=AR14,HOUR(AR14-AQ14)+(MINUTE(AR14-AQ14)/60),0)+IF(BB14&lt;=BC14,HOUR(BC14-BB14)+(MINUTE(BC14-BB14)/60),0),0),IF(I14=0,0,(8-I14))),0),0,IFERROR(IF(N14="Strict",IF(C14="Normal",IF(AQ14&lt;=AR14,HOUR(AR14-AQ14)+(MINUTE(AR14-AQ14)/60),0)+IF(BB14&lt;=BC14,HOUR(BC14-BB14)+(MINUTE(BC14-BB14)/60),0),0),IF(I14=0,0,(8-I14))),0))),0)</f>
        <v>0</v>
      </c>
      <c r="T14" s="88" t="n">
        <f aca="false">IF(AND(C14="Working - Rest Day",BW14&gt;0),(8-IF(BV14&gt;6,BV14-1,BV14)),0)-IF(AND(C14="Working - Rest Day",OR(C15="Special Holiday",C15="Working - Legal Holiday on RD",C15="Working - Special Holiday on RD",C15="Legal Holiday",C15="Legal Holiday on RD",C15="Special Holiday on RD")),BN14,0)+IF(AND(C14="Working - Rest Day",OR(C13="Special Holiday",C13="Working - Legal Holiday on RD",C13="Working - Special Holiday on RD",C13="Legal Holiday")),BN13,0)</f>
        <v>0</v>
      </c>
      <c r="U14" s="88" t="n">
        <f aca="false">IF(AND(C14="Legal Holiday",BW14&gt;0),(8-IF(BV14&gt;6,BV14-1,BV14)),0)-IF(AND(C14="Legal Holiday",OR(C15="Special Holiday",C15="Legal Holiday on RD",C15="Special Holiday on RD",C15="Normal",C15="Rest Day",C15="Working - Legal Holiday on RD",C15="Working - Special Holiday on RD",C15="Working - Rest Day",C15="Leave")),BN14,0)+IF(AND(OR(C14="Legal Holiday",C14="Legal Holiday on RD"),OR(C13="Special Holiday",C13="Working - Legal Holiday on RD",C13="Working - Special Holiday on RD",C13="Normal",C13="Working - Rest Day")),BN13,0)</f>
        <v>0</v>
      </c>
      <c r="V14" s="88" t="n">
        <f aca="false">IF(AND(C14="Special Holiday",BW14&gt;0),(8-IF(BV14&gt;6,BV14-1,BV14)),0)-IF(AND(C14="Special Holiday",OR(C15="Legal Holiday",C15="Working - Legal Holiday on RD",C15="Working - Special Holiday on RD",C15="Normal",C15="Rest Day",C15="Legal Holiday on RD",C15="Special Holiday on RD",C15="Working - Rest Day",C15="Leave")),BN14,0)+IF(AND(OR(C14="Special Holiday",C14="Special Holiday on RD"),OR(C13="Legal Holiday",C13="Working - Legal Holiday on RD",C13="Working - Special Holiday on RD",C13="Working - Rest Day",C13="Normal")),BN13,0)</f>
        <v>0</v>
      </c>
      <c r="W14" s="88" t="n">
        <f aca="false">IF(AND(C14="Working - Legal Holiday on RD",BW14&gt;0),(8-IF(BV14&gt;6,BV14-1,BV14)),0)-IF(AND(C14="Working - Legal Holiday on RD",OR(C15="Legal Holiday",C15="Special Holiday",C15="Working - Special Holiday on RD",C15="Normal",C15="Rest Day",C15="Special Holiday on RD",C15="Working - Rest Day",C15="Leave")),BN14,0)+IF(AND(C14="Working - Legal Holiday on RD",OR(C13="Legal Holiday",C13="Special Holiday",C13="Working - Special Holiday on RD",C13="Working - Rest Day",C13="Normal")),BN13,0)</f>
        <v>0</v>
      </c>
      <c r="X14" s="88" t="n">
        <f aca="false">IF(AND(C14="Working - Special Holiday on RD",BW14&gt;0),(8-IF(BV14&gt;6,BV14-1,BV14)),0)-IF(AND(C14="Working - Special Holiday on RD",OR(C15="Legal Holiday",C15="Special Holiday",C15="Working - Legal Holiday on RD",C15="Normal",C15="Rest Day",C15="Leave",C15="Working - Rest Day",C15="Legal Holiday on RD")),BN14,0)+IF(AND(C14="Working - Special Holiday on RD",OR(C13="Legal Holiday",C13="Special Holiday",C13="Working - Legal Holiday on RD",C13="Normal",C13="Working - Rest Day")),BN13,0)</f>
        <v>0</v>
      </c>
      <c r="Y14" s="88" t="n">
        <f aca="false">IFERROR(IF(C14="Normal",HOUR(AY14-AV14)+MINUTE(AY14-AV14)/60,0),0)-IFERROR(IF(C14="Normal",HOUR(BA14-AX14)+MINUTE(BA14-AX14)/60,0),0)-IF(AND(C14="Normal",OR(C15="Special Holiday",C15="Working - Legal Holiday on RD",C15="Working - Special Holiday on RD",C15="Legal Holiday",C15="Legal Holiday on RD",C15="Special Holiday on RD")),BP14,0)+IF(AND(OR(C14="Normal",C14="Rest Day",C14="Leave"),OR(C13="Special Holiday",C13="Working - Legal Holiday on RD",C13="Working - Special Holiday on RD",C13="Legal Holiday")),BP13,0)</f>
        <v>0</v>
      </c>
      <c r="Z14" s="88" t="n">
        <f aca="false">IFERROR(IF(C14="Working - Rest Day",HOUR(AY14-AV14)+MINUTE(AY14-AV14)/60,0),0)-IFERROR(IF(C14="Working - Rest Day",HOUR(BA14-AX14)+MINUTE(BA14-AX14)/60,0),0)-IF(AND(C14="Working - Rest Day",OR(C15="Special Holiday",C15="Working - Legal Holiday on RD",C15="Working - Special Holiday on RD",C15="Legal Holiday",C15="Legal Holiday on RD",C15="Special Holiday on RD")),BP14,0)+IF(AND(C14="Working - Rest Day",OR(C13="Special Holiday",C13="Working - Legal Holiday on RD",C13="Working - Special Holiday on RD",C13="Legal Holiday")),BP13,0)</f>
        <v>0</v>
      </c>
      <c r="AA14" s="88" t="n">
        <f aca="false">IFERROR(IF(C14="Legal Holiday",HOUR(AY14-AV14)+MINUTE(AY14-AV14)/60,0),0)-IFERROR(IF(C14="Legal Holiday",HOUR(BA14-AX14)+MINUTE(BA14-AX14)/60,0),0)-IF(AND(C14="Legal Holiday",OR(C15="Special Holiday",C15="Legal Holiday on RD",C15="Special Holiday on RD",C15="Normal",C15="Rest Day",C15="Working - Legal Holiday on RD",C15="Working - Special Holiday on RD",C15="Working - Rest Day",C15="Leave")),BP14,0)+IF(AND(OR(C14="Legal Holiday",C14="Legal Holiday on RD"),OR(C13="Special Holiday",C13="Working - Legal Holiday on RD",C13="Working - Special Holiday on RD",C13="Normal",C13="Working - Rest Day")),BP13,0)</f>
        <v>0</v>
      </c>
      <c r="AB14" s="88" t="n">
        <f aca="false">IFERROR(IF(C14="Special Holiday",HOUR(AY14-AV14)+MINUTE(AY14-AV14)/60,0),0)-IFERROR(IF(C14="Special Holiday",HOUR(BA14-AX14)+MINUTE(BA14-AX14)/60,0),0)-IF(AND(C14="Special Holiday",OR(C15="Legal Holiday",C15="Working - Legal Holiday on RD",C15="Working - Special Holiday on RD",C15="Normal",C15="Rest Day",C15="Legal Holiday on RD",C15="Special Holiday on RD",C15="Working - Rest Day",C15="Leave")),BP14,0)+IF(AND(OR(C14="Special Holiday",C14="Special Holiday on RD"),OR(C13="Legal Holiday",C13="Working - Legal Holiday on RD",C13="Working - Special Holiday on RD",C13="Normal",C13="Working - Rest Day")),BP13,0)</f>
        <v>0</v>
      </c>
      <c r="AC14" s="88" t="n">
        <f aca="false">IFERROR(IF(C14="Working - Legal Holiday on RD",HOUR(AY14-AV14)+MINUTE(AY14-AV14)/60,0),0)-IFERROR(IF(C14="Working - Legal Holiday on RD",HOUR(BA14-AX14)+MINUTE(BA14-AX14)/60,0),0)-IF(AND(C14="Working - Legal Holiday on RD",OR(C15="Legal Holiday",C15="Special Holiday",C15="Working - Special Holiday on RD",C15="Normal",C15="Rest Day",C15="Special Holiday on RD",C15="Working - Rest Day",C15="Leave")),BP14,0)+IF(AND(C14="Working - Legal Holiday on RD",OR(C13="Legal Holiday",C13="Special Holiday",C13="Working - Special Holiday on RD",C13="Normal",C13="Working - Rest Day")),BP13,0)</f>
        <v>0</v>
      </c>
      <c r="AD14" s="88" t="n">
        <f aca="false">IFERROR(IF(C14="Working - Special Holiday on RD",HOUR(AY14-AV14)+MINUTE(AY14-AV14)/60,0),0)-IFERROR(IF(C14="Working - Special Holiday on RD",HOUR(BA14-AX14)+MINUTE(BA14-AX14)/60,0),0)-IF(AND(C14="Working - Special Holiday on RD",OR(C15="Legal Holiday",C15="Special Holiday",C15="Working - Legal Holiday on RD",C15="Normal",C15="Rest Day",C15="Working - Rest Day",C15="Leave",C15="Legal Holiday on RD")),BP14,0)+IF(AND(C14="Working - Special Holiday on RD",OR(C13="Legal Holiday",C13="Special Holiday",C13="Working - Legal Holiday on RD",C13="Normal",C13="Working - Rest Day")),BP13,0)</f>
        <v>0</v>
      </c>
      <c r="AE14" s="88" t="n">
        <f aca="false">IFERROR(IF(C14="Normal",HOUR(BA14-AX14)+MINUTE(BA14-AX14)/60,0),0)-IF(AND(C14="Normal",OR(C15="Special Holiday",C15="Working - Legal Holiday on RD",C15="Working - Special Holiday on RD",C15="Legal Holiday",C15="Legal Holiday on RD",C15="Special Holiday on RD")),BQ14,0)+IF(AND(OR(C14="Normal",C14="Rest Day",C14="Leave"),OR(C13="Special Holiday",C13="Working - Legal Holiday on RD",C13="Working - Special Holiday on RD",C13="Legal Holiday")),BQ13,0)</f>
        <v>0</v>
      </c>
      <c r="AF14" s="88" t="n">
        <f aca="false">IFERROR(IF(C14="Working - Rest Day",HOUR(BA14-AX14)+MINUTE(BA14-AX14)/60,0),0)-IF(AND(C14="Working - Rest Day",OR(C15="Special Holiday",C15="Working - Legal Holiday on RD",C15="Working - Special Holiday on RD",C15="Legal Holiday",C15="Legal Holiday on RD",C15="Special Holiday on RD")),BQ14,0)+IF(AND(C14="Working - Rest Day",OR(C13="Special Holiday",C13="Working - Legal Holiday on RD",C13="Working - Special Holiday on RD",C13="Legal Holiday")),BQ13,0)</f>
        <v>0</v>
      </c>
      <c r="AG14" s="88" t="n">
        <f aca="false">IFERROR(IF(C14="Legal Holiday",HOUR(BA14-AX14)+MINUTE(BA14-AX14)/60,0),0)-IF(AND(C14="Legal Holiday",OR(C15="Special Holiday",C15="Legal Holiday on RD",C15="Special Holiday on RD",C15="Normal",C15="Rest Day",C15="Working - Legal Holiday on RD",C15="Working - Special Holiday on RD",C15="Working - Rest Day",C15="Leave")),BQ14,0)+IF(AND(OR(C14="Legal Holiday",C14="Legal Holiday on RD"),OR(C13="Special Holiday",C13="Working - Legal Holiday on RD",C13="Working - Special Holiday on RD",C13="Normal",C13="Working - Rest Day")),BQ13,0)</f>
        <v>0</v>
      </c>
      <c r="AH14" s="88" t="n">
        <f aca="false">IFERROR(IF(C14="Special Holiday",HOUR(BA14-AX14)+MINUTE(BA14-AX14)/60,0),0)-IF(AND(C14="Special Holiday",OR(C15="Legal Holiday",C15="Working - Legal Holiday on RD",C15="Working - Special Holiday on RD",C15="Normal",C15="Rest Day",C15="Legal Holiday on RD",C15="Special Holiday on RD",C15="Working - Rest Day",C15="Leave")),BQ14,0)+IF(AND(OR(C14="Special Holiday",C14="Special Holiday on RD"),OR(C13="Legal Holiday",C13="Working - Legal Holiday on RD",C13="Working - Special Holiday on RD",C13="Normal",C13="Working - Rest Day")),BQ13,0)</f>
        <v>0</v>
      </c>
      <c r="AI14" s="88" t="n">
        <f aca="false">IFERROR(IF(C14="Working - Legal Holiday on RD",HOUR(BA14-AX14)+MINUTE(BA14-AX14)/60,0),0)-IF(AND(C14="Working - Legal Holiday on RD",OR(C15="Legal Holiday",C15="Special Holiday",C15="Working - Special Holiday on RD",C15="Normal",C15="Rest Day",C15="Special Holiday on RD",C15="Working - Rest Day",C15="Leave")),BQ14,0)+IF(AND(C14="Working - Legal Holiday on RD",OR(C13="Legal Holiday",C13="Special Holiday",C13="Working - Special Holiday on RD",C13="Normal",C13="Working - Rest Day")),BQ13,0)</f>
        <v>0</v>
      </c>
      <c r="AJ14" s="88" t="n">
        <f aca="false">IFERROR(IF(C14="Working - Special Holiday on RD",HOUR(BA14-AX14)+MINUTE(BA14-AX14)/60,0),0)-IF(AND(C14="Working - Special Holiday on RD",OR(C15="Legal Holiday",C15="Special Holiday",C15="Working - Legal Holiday on RD",C15="Normal",C15="Rest Day",C15="Working - Rest Day",C15="Leave",C15="Legal Holiday on RD")),BQ14,0)+IF(AND(C14="Working - Special Holiday on RD",OR(C13="Legal Holiday",C13="Special Holiday",C13="Working - Legal Holiday on RD",C13="Normal",C13="Working - Rest Day")),BQ13,0)</f>
        <v>0</v>
      </c>
      <c r="AK14" s="88" t="n">
        <f aca="false">IFERROR(IF(C14="Normal",HOUR(BF14-AU14)+(MINUTE(BF14-AU14)/60),0),0)-IF(AND(C14="Normal",OR(C15="Special Holiday",C15="Working - Legal Holiday on RD",C15="Working - Special Holiday on RD",C15="Legal Holiday",C15="Legal Holiday on RD",C15="Special Holiday on RD")),BO14,0)+IF(AND(OR(C14="Normal",C14="Rest Day",C14="Leave"),OR(C13="Special Holiday",C13="Working - Legal Holiday on RD",C13="Working - Special Holiday on RD",C13="Legal Holiday")),BO13,0)</f>
        <v>0</v>
      </c>
      <c r="AL14" s="88" t="n">
        <f aca="false">IFERROR(IF(C14="Working - Rest Day",HOUR(BF14-AU14)+(MINUTE(BF14-AU14)/60),0),0)-IF(AND(C14="Working - Rest Day",OR(C15="Special Holiday",C15="Working - Legal Holiday on RD",C15="Working - Special Holiday on RD",C15="Legal Holiday",C15="Legal Holiday on RD",C15="Special Holiday on RD")),BO14,0)+IF(AND(C14="Working - Rest Day",OR(C13="Special Holiday",C13="Working - Legal Holiday on RD",C13="Working - Special Holiday on RD",C13="Legal Holiday")),BO13,0)</f>
        <v>0</v>
      </c>
      <c r="AM14" s="88" t="n">
        <f aca="false">IFERROR(IF(C14="Legal Holiday",HOUR(BF14-AU14)+(MINUTE(BF14-AU14)/60),0),0)-IF(AND(C14="Legal Holiday",OR(C15="Special Holiday",C15="Legal Holiday on RD",C15="Special Holiday on RD",C15="Normal",C15="Rest Day",C15="Working - Legal Holiday on RD",C15="Working - Special Holiday on RD",C15="Working - Rest Day",C15="Leave")),BO14,0)+IF(AND(OR(C14="Legal Holiday",C14="Legal Holiday on RD"),OR(C13="Special Holiday",C13="Working - Legal Holiday on RD",C13="Working - Special Holiday on RD",C13="Normal",C13="Working - Rest Day")),BO13,0)</f>
        <v>0</v>
      </c>
      <c r="AN14" s="88" t="n">
        <f aca="false">IFERROR(IF(C14="Special Holiday",HOUR(BF14-AU14)+(MINUTE(BF14-AU14)/60),0),0)-IF(AND(C14="Special Holiday",OR(C15="Legal Holiday",C15="Working - Legal Holiday on RD",C15="Working - Special Holiday on RD",C15="Normal",C15="Rest Day",C15="Legal Holiday on RD",C15="Special Holiday on RD",C15="Working - Rest Day",C15="Leave")),BO14,0)+IF(AND(OR(C14="Special Holiday",C14="Special Holiday on RD"),OR(C13="Legal Holiday",C13="Working - Legal Holiday on RD",C13="Working - Special Holiday on RD",C13="Normal",C13="Working - Rest Day")),BO13,0)</f>
        <v>0</v>
      </c>
      <c r="AO14" s="88" t="n">
        <f aca="false">IFERROR(IF(C14="Working - Legal Holiday on RD",HOUR(BF14-AU14)+(MINUTE(BF14-AU14)/60),0),0)-IF(AND(C14="Working - Legal Holiday on RD",OR(C15="Legal Holiday",C15="Special Holiday",C15="Working - Special Holiday on RD",C15="Normal",C15="Rest Day",C15="Special Holiday on RD",C15="Working - Rest Day",C15="Leave")),BO14,0)+IF(AND(C14="Working - Legal Holiday on RD",OR(C13="Legal Holiday",C13="Special Holiday",C13="Working - Special Holiday on RD",C13="Normal",C13="Working - Rest Day")),BO13,0)</f>
        <v>0</v>
      </c>
      <c r="AP14" s="88" t="n">
        <f aca="false">IFERROR(IF(C14="Working - Special Holiday on RD",HOUR(BF14-AU14)+(MINUTE(BF14-AU14)/60),0),0)-IF(AND(C14="Working - Special Holiday on RD",OR(C15="Legal Holiday",C15="Special Holiday",C15="Working - Legal Holiday on RD",C15="Normal",C15="Rest Day",C15="Working - Rest Day",C15="Leave",C15="Legal Holiday on RD")),BO14,0)+IF(AND(C14="Working - Special Holiday on RD",OR(C13="Legal Holiday",C13="Special Holiday",C13="Working - Legal Holiday on RD",C13="Normal",C13="Working - Rest Day")),BO13,0)</f>
        <v>0</v>
      </c>
      <c r="AQ14" s="89" t="str">
        <f aca="false">TEXT(D14,"HH:MM")&amp;" "&amp;TEXT(A14,"DD-mmm-YY")</f>
        <v>08:30 16-Jun-26</v>
      </c>
      <c r="AR14" s="89" t="str">
        <f aca="false">TEXT(G14,"HH:MM")&amp;" "&amp;TEXT(A14,"DD-mmm-YY")</f>
        <v>08:30 16-Jun-26</v>
      </c>
      <c r="AS14" s="60" t="str">
        <f aca="false">IF($AR$1&lt;D14,AR14,IF(AT14&lt;=AR14,AR14,AT14))</f>
        <v>22:00 16-Jun-26</v>
      </c>
      <c r="AT14" s="60" t="str">
        <f aca="false">IF(AND(D14&gt;=0,D14&lt;0.25),TEXT($AR$1,"HH:MM")&amp;" "&amp;TEXT((A14-1),"dd-mmm-yy"),TEXT($AR$1,"HH:MM")&amp;" "&amp;TEXT(A14,"dd-mmm-yy"))</f>
        <v>22:00 16-Jun-26</v>
      </c>
      <c r="AU14" s="40" t="e">
        <f aca="false" t="array" ref="AU14:AU14">MAX(AQ14:AS14+0)</f>
        <v>#VALUE!</v>
      </c>
      <c r="AV14" s="60" t="str">
        <f aca="false">TEXT(J14,"HH:MM")&amp;" "&amp;TEXT(K14,"DD-mmm-YY")</f>
        <v>00:00 00-Jan-00</v>
      </c>
      <c r="AW14" s="60" t="str">
        <f aca="false">IF(K14&lt;A14,TEXT($AR$1,"HH:MM")&amp;" "&amp;TEXT((A14-1),"dd-mmm-yy"),IF(AND(D14&gt;0,D14&lt;0.25,L14&lt;0.916666666666667,A14&lt;M14),TEXT($AR$1,"HH:MM")&amp;" "&amp;TEXT((A14-1),"dd-mmm-yy"),TEXT($AR$1,"HH:MM")&amp;" "&amp;TEXT(A14,"dd-mmm-yy")))</f>
        <v>22:00 15-Jun-26</v>
      </c>
      <c r="AX14" s="40" t="e">
        <f aca="false" t="array" ref="AX14:AX14">MAX(AV14:AW14+0)</f>
        <v>#VALUE!</v>
      </c>
      <c r="AY14" s="60" t="str">
        <f aca="false">TEXT(L14,"HH:MM")&amp;" "&amp;TEXT(M14,"DD-mmm-YY")</f>
        <v>00:00 00-Jan-00</v>
      </c>
      <c r="AZ14" s="60" t="str">
        <f aca="false">IF(AND(D14&gt;=0,D14&lt;0.25,L14&lt;0.916666666666667,A14&gt;M14),TEXT($AR$2,"HH:MM")&amp;" "&amp;TEXT(A14,"DD-mmm-YY"),TEXT($AR$2,"HH:MM")&amp;" "&amp;TEXT((A14+1),"DD-mmm-YY"))</f>
        <v>06:00 17-Jun-26</v>
      </c>
      <c r="BA14" s="40" t="e">
        <f aca="false" t="array" ref="BA14:BA14">MIN(AY14:AZ14+0)</f>
        <v>#VALUE!</v>
      </c>
      <c r="BB14" s="60" t="str">
        <f aca="false">IF(G14&gt;H14,TEXT(H14,"HH:MM")&amp;" "&amp;TEXT(E14,"DD-mmm-YY"),IF(H14&gt;1,TEXT(H14,"HH:MM")&amp;" "&amp;TEXT(E14,"DD-mmm-YY"),TEXT(H14,"HH:MM")&amp;" "&amp;TEXT(A14,"DD-mmm-YY")))</f>
        <v>19:30 16-Jun-26</v>
      </c>
      <c r="BC14" s="60" t="str">
        <f aca="false">IF(N14="Flexi",TEXT(G14+$BC$1,"HH:MM")&amp;" "&amp;TEXT(E14,"DD-mmm-YY"),TEXT(F14,"HH:MM")&amp;" "&amp;TEXT(E14,"DD-mmm-YY"))</f>
        <v>19:30 16-Jun-26</v>
      </c>
      <c r="BD14" s="90" t="e">
        <f aca="false" t="array" ref="BD14:BD14">MIN(BB14:BC14+0)</f>
        <v>#VALUE!</v>
      </c>
      <c r="BE14" s="60" t="str">
        <f aca="false">IF(D14&gt;0.25,TEXT($AR$2,"HH:MM")&amp;" "&amp;TEXT(IF(BG14&lt;H14,A14+1,E14),"DD-mmm-YY"),IF(D14&gt;=0,TEXT($AR$2,"HH:MM")&amp;" "&amp;TEXT(IF(BG14&lt;H14,A14+1,E14)-1,"DD-mmm-YY"),TEXT($AR$2,"HH:MM")&amp;" "&amp;TEXT(IF(BG14&lt;H14,A14+1,E14),"DD-mmm-YY")))</f>
        <v>06:00 17-Jun-26</v>
      </c>
      <c r="BF14" s="40" t="e">
        <f aca="false" t="array" ref="BF14:BF14">IF(N14="Flexi",IF(AND(BB14&gt;BC14,BB14&lt;BE14),BB14,MIN(BB14:BE14+0)),MIN(BB14:BE14+0))</f>
        <v>#VALUE!</v>
      </c>
      <c r="BG14" s="7" t="n">
        <v>0</v>
      </c>
      <c r="BH14" s="9" t="str">
        <f aca="false">TEXT(BG14,"HH:MM")&amp;" "&amp;TEXT(A14+1,"DD-mmm-YY")</f>
        <v>00:00 17-Jun-26</v>
      </c>
      <c r="BI14" s="9" t="str">
        <f aca="false">AV14</f>
        <v>00:00 00-Jan-00</v>
      </c>
      <c r="BJ14" s="91" t="e">
        <f aca="false" t="array" ref="BJ14:BJ14">MAX(BH14:BI14+0)</f>
        <v>#VALUE!</v>
      </c>
      <c r="BK14" s="9" t="str">
        <f aca="false">TEXT($AR$2,"HH:MM")&amp;" "&amp;TEXT(A14+1,"DD-mmm-YY")</f>
        <v>06:00 17-Jun-26</v>
      </c>
      <c r="BL14" s="9" t="str">
        <f aca="false">AY14</f>
        <v>00:00 00-Jan-00</v>
      </c>
      <c r="BM14" s="91" t="e">
        <f aca="false" t="array" ref="BM14:BM14">MIN(BK14:BL14+0)</f>
        <v>#VALUE!</v>
      </c>
      <c r="BN14" s="13" t="n">
        <f aca="false">IF(IFERROR(IF(E14&gt;A14,IF(BD14&gt;=BD14,HOUR(BD14-BH14)+MINUTE(BD14-BH14)/60,0),0),0)&gt;5,(IFERROR(IF(E14&gt;A14,IF(BD14&gt;=BD14,HOUR(BD14-BH14)+MINUTE(BD14-BH14)/60,0),0),0)-1),IFERROR(IF(E14&gt;A14,IF(BD14&gt;=BD14,HOUR(BD14-BH14)+MINUTE(BD14-BH14)/60,0),0),0))</f>
        <v>0</v>
      </c>
      <c r="BO14" s="13" t="n">
        <f aca="false">IFERROR(IF(E14&gt;A14,HOUR(BF14-BH14)+MINUTE(BF14-BH14)/60,0),0)</f>
        <v>0</v>
      </c>
      <c r="BP14" s="92" t="n">
        <f aca="false">IF(AND(A14&lt;M14,L14&gt;0.25,L14&lt;=0.916666666666667,J14&gt;=0.25),IFERROR(HOUR(AY14-AV14)+MINUTE(AY14-AV14)/60,0),IFERROR(HOUR(AY14-BK14)+MINUTE(AY14-BK14)/60,0))</f>
        <v>0</v>
      </c>
      <c r="BQ14" s="13" t="n">
        <f aca="false">IFERROR(HOUR(BM14-BJ14)+MINUTE(BM14-BJ14)/60,0)</f>
        <v>0</v>
      </c>
      <c r="BR14" s="13" t="n">
        <f aca="false">IF(AND(C14=C14,BW14&gt;0),(8-BV14),0)-BN14</f>
        <v>0</v>
      </c>
      <c r="BS14" s="13" t="n">
        <f aca="false">IFERROR(IF(C14=C14,HOUR(BF14-AU14)+(MINUTE(BF14-AU14)/60),0),0)-BO14</f>
        <v>0</v>
      </c>
      <c r="BT14" s="92" t="n">
        <f aca="false">IFERROR(IF(C14=C14,HOUR(AY14-AV14)+MINUTE(AY14-AV14)/60,0),0)-IFERROR(IF(C14=C14,HOUR(BA14-AX14)+MINUTE(BA14-AX14)/60,0),0)-BP14</f>
        <v>0</v>
      </c>
      <c r="BU14" s="13" t="n">
        <f aca="false">IFERROR(IF(C14=C14,HOUR(BA14-AX14)+MINUTE(BA14-AX14)/60,0),0)-BQ14</f>
        <v>0</v>
      </c>
      <c r="BV14" s="13" t="n">
        <f aca="false">IF(C14=C14,IF(P14="Remain Lates",(IFERROR(IF(N14="Strict",IF(C14=C14,IF(AQ14&lt;=AR14,HOUR(AR14-AQ14)+(MINUTE(AR14-AQ14)/60),0)+IF(BB14&lt;=BC14,HOUR(BC14-BB14)+(MINUTE(BC14-BB14)/60),0),0),IF(BW14=0,0,(8-BW14))),0)-(O14/60)),IF((O14/60)&gt;=IFERROR(IF(N14="Strict",IF(C14=C14,IF(AQ14&lt;=AR14,HOUR(AR14-AQ14)+(MINUTE(AR14-AQ14)/60),0)+IF(BB14&lt;=BC14,HOUR(BC14-BB14)+(MINUTE(BC14-BB14)/60),0),0),IF(BW14=0,0,(8-BW14))),0),0,IFERROR(IF(N14="Strict",IF(C14=C14,IF(AQ14&lt;=AR14,HOUR(AR14-AQ14)+(MINUTE(AR14-AQ14)/60),0)+IF(BB14&lt;=BC14,HOUR(BC14-BB14)+(MINUTE(BC14-BB14)/60),0),0),IF(BW14=0,0,(8-BW14))),0))),0)</f>
        <v>0</v>
      </c>
      <c r="BW14" s="13" t="n">
        <f aca="false">IFERROR(IF(N14="Strict",IF(C14=C14,IFERROR(IF((HOUR(IF(AQ14&lt;=AR14,BB14-AR14,BB14-AQ14))+MINUTE(IF(AQ14&lt;=AR14,BB14-AR14,BB14-AQ14))/60)&gt;=6,HOUR(IF(AQ14&lt;=AR14,BB14-AR14,BB14-AQ14))+MINUTE(IF(AQ14&lt;=AR14,BB14-AR14,BB14-AQ14))/60-1,HOUR(IF(AQ14&lt;=AR14,BB14-AR14,BB14-AQ14))+MINUTE(IF(AQ14&lt;=AR14,BB14-AR14,BB14-AQ14))/60),0),0),IF(N14="Flexi",IF(C14=C14,IF((HOUR(BB14-AR14)+MINUTE(BB14-AR14)/60)&gt;=6,(HOUR(BB14-AR14)+MINUTE(BB14-AR14)/60)-1,(HOUR(BB14-AR14)+MINUTE(BB14-AR14)/60)),0),0)),0)</f>
        <v>0</v>
      </c>
      <c r="BX14" s="93" t="n">
        <f aca="false">IF(OR(C15="Special Holiday",C15="Working - Legal Holiday on RD",C15="Working - Special Holiday on RD",C15="Legal Holiday",C15="Legal Holiday on RD",C15="Special Holiday on RD",),BN14,0)</f>
        <v>0</v>
      </c>
      <c r="BY14" s="93" t="n">
        <f aca="false">IF(AND(C14="Working - Rest Day",OR(C15="Special Holiday",C15="Working - Legal Holiday on RD",C15="Working - Special Holiday on RD",C15="Legal Holiday",C15="Legal Holiday on RD",C15="Special Holiday on RD",C15="Leave")),BN14,0)</f>
        <v>0</v>
      </c>
      <c r="BZ14" s="93" t="n">
        <f aca="false">IF(AND(C14="Legal Holiday",OR(C15="Special Holiday",C15="Legal Holiday on RD",C15="Special Holiday on RD",C15="Normal",C15="Rest Day",C15="Working - Legal Holiday on RD",C15="Working - Special Holiday on RD",C15="Working - Rest Day",C15="Leave")),BN14,0)</f>
        <v>0</v>
      </c>
      <c r="CA14" s="93" t="n">
        <f aca="false">IF(AND(C14="Special Holiday",OR(C15="Legal Holiday",C15="Working - Legal Holiday on RD",C15="Working - Special Holiday on RD",C15="Normal",C15="Rest Day",C15="Legal Holiday on RD",C15="Special Holiday on RD",C15="Working - Rest Day",C15="Leave")),BN14,0)</f>
        <v>0</v>
      </c>
      <c r="CB14" s="93" t="n">
        <f aca="false">IF(AND(C14="Working - Legal Holiday on RD",OR(C15="Legal Holiday",C15="Special Holiday",C15="Working - Special Holiday on RD",C15="Normal",C15="Rest Day",C15="Special Holiday on RD",C15="Working - Rest Day",C15="Leave")),BN14,0)</f>
        <v>0</v>
      </c>
      <c r="CC14" s="93" t="n">
        <f aca="false">IF(AND(C14="Working - Special Holiday on RD",OR(C15="Legal Holiday",C15="Special Holiday",C15="Working - Legal Holiday on RD",C15="Normal",C15="Rest Day",C15="Leave",C15="Legal Holiday on RD")),BN14,0)</f>
        <v>0</v>
      </c>
      <c r="CD14" s="93" t="n">
        <f aca="false">IF(OR(C13="Special Holiday",C13="Working - Legal Holiday on RD",C13="Working - Special Holiday on RD",C13="Legal Holiday"),BN13,0)</f>
        <v>0</v>
      </c>
      <c r="CE14" s="93" t="n">
        <f aca="false">IF(AND(C14="Working - Rest Day",OR(C13="Special Holiday",C13="Working - Legal Holiday on RD",C13="Working - Special Holiday on RD",C13="Normal",C13="Legal Holiday")),BN13,0)</f>
        <v>0</v>
      </c>
      <c r="CF14" s="93" t="n">
        <f aca="false">IF(AND(OR(C14="Legal Holiday",C14="Legal Holiday on a Rest Day"),OR(C13="Special Holiday",C13="Working - Legal Holiday on RD",C13="Working - Special Holiday on RD",C13="Normal")),BN13,0)</f>
        <v>0</v>
      </c>
      <c r="CG14" s="93" t="n">
        <f aca="false">IF(AND(OR(C14="Special Holiday",C14="Special Holiday on RD"),OR(C13="Legal Holiday",C13="Working - Legal Holiday on RD",C13="Working - Special Holiday on RD",C13="Normal")),BN13,0)</f>
        <v>0</v>
      </c>
      <c r="CH14" s="93" t="n">
        <f aca="false">IF(AND(C14="Working - Legal Holiday on a RD",OR(C13="Legal Holiday",C13="Special Holiday",C13="Working - Special Holiday on RD",C13="Normal")),BN13,0)</f>
        <v>0</v>
      </c>
      <c r="CI14" s="93" t="n">
        <f aca="false">IF(AND(C14="Working - Special Holiday on RD",OR(C13="Legal Holiday",C13="Special Holiday",C13="Working - Legal Holiday on RD",C13="Normal")),BN13,0)</f>
        <v>0</v>
      </c>
      <c r="CJ14" s="93" t="n">
        <f aca="false">IF(OR(C15="Special Holiday",C15="Working - Legal Holiday on RD",C15="Working - Special Holiday on RD",C15="Legal Holiday",C15="Legal Holiday on RD",C15="Special Holiday on RD",),BP14,0)</f>
        <v>0</v>
      </c>
      <c r="CK14" s="93" t="n">
        <f aca="false">IF(AND(C14="Working - Rest Day",OR(C15="Special Holiday",C15="Working - Legal Holiday on RD",C15="Working - Special Holiday on RD",C15="Legal Holiday",C15="Legal Holiday on RD",C15="Special Holiday on RD",C15="Leave")),BP14,0)</f>
        <v>0</v>
      </c>
      <c r="CL14" s="93" t="n">
        <f aca="false">IF(AND(C14="Legal Holiday",OR(C15="Special Holiday",C15="Legal Holiday on RD",C15="Special Holiday on RD",C15="Normal",C15="Rest Day",C15="Working - Legal Holiday on RD",C15="Working - Special Holiday on RD",C15="Working - Rest Day",C15="Leave")),BP14,0)</f>
        <v>0</v>
      </c>
      <c r="CM14" s="93" t="n">
        <f aca="false">IF(AND(C14="Special Holiday",OR(C15="Legal Holiday",C15="Working - Legal Holiday on RD",C15="Working - Special Holiday on RD",C15="Normal",C15="Rest Day",C15="Legal Holiday on RD",C15="Special Holiday on RD",C15="Working - Rest Day",C15="Leave")),BP14,0)</f>
        <v>0</v>
      </c>
      <c r="CN14" s="93" t="n">
        <f aca="false">IF(AND(C14="Working - Legal Holiday on RD",OR(C15="Legal Holiday",C15="Special Holiday",C15="Working - Special Holiday on RD",C15="Normal",C15="Rest Day",C15="Special Holiday on RD",C15="Working - Rest Day",C15="Leave")),BP14,0)</f>
        <v>0</v>
      </c>
      <c r="CO14" s="93" t="n">
        <f aca="false">IF(AND(C14="Working - Special Holiday on RD",OR(C15="Legal Holiday",C15="Special Holiday",C15="Working - Legal Holiday on RD",C15="Normal",C15="Rest Day",C15="Leave",C15="Legal Holiday on RD")),BP14,0)</f>
        <v>0</v>
      </c>
      <c r="CP14" s="93" t="n">
        <f aca="false">IF(OR(C13="Special Holiday",C13="Working - Legal Holiday on RD",C13="Working - Special Holiday on RD",C13="Legal Holiday"),BP13,0)</f>
        <v>0</v>
      </c>
      <c r="CQ14" s="93" t="n">
        <f aca="false">IF(AND(C14="Working - Rest Day",OR(C13="Special Holiday",C13="Working - Legal Holiday on RD",C13="Working - Special Holiday on RD",C13="Normal",C13="Legal Holiday")),BP13,0)</f>
        <v>0</v>
      </c>
      <c r="CR14" s="93" t="n">
        <f aca="false">IF(AND(OR(C14="Legal Holiday",C14="Legal Holiday on a Rest Day"),OR(C13="Special Holiday",C13="Working - Legal Holiday on RD",C13="Working - Special Holiday on RD",C13="Normal")),BP13,0)</f>
        <v>0</v>
      </c>
      <c r="CS14" s="93" t="n">
        <f aca="false">IF(AND(OR(C14="Special Holiday",C14="Special Holiday on RD"),OR(C13="Legal Holiday",C13="Working - Legal Holiday on RD",C13="Working - Special Holiday on RD",C13="Normal")),BP13,0)</f>
        <v>0</v>
      </c>
      <c r="CT14" s="93" t="n">
        <f aca="false">IF(AND(C14="Working - Legal Holiday on a RD",OR(C13="Legal Holiday",C13="Special Holiday",C13="Working - Special Holiday on RD",C13="Normal")),BP13,0)</f>
        <v>0</v>
      </c>
      <c r="CU14" s="93" t="n">
        <f aca="false">IF(AND(C14="Working - Special Holiday on RD",OR(C13="Legal Holiday",C13="Special Holiday",C13="Working - Legal Holiday on RD",C13="Normal")),BP13,0)</f>
        <v>0</v>
      </c>
      <c r="CV14" s="93" t="n">
        <f aca="false">IF(OR(C15="Special Holiday",C15="Working - Legal Holiday on RD",C15="Working - Special Holiday on RD",C15="Legal Holiday",C15="Legal Holiday on RD",C15="Special Holiday on RD",),BQ14,0)</f>
        <v>0</v>
      </c>
      <c r="CW14" s="93" t="n">
        <f aca="false">IF(AND(C14="Working - Rest Day",OR(C15="Special Holiday",C15="Working - Legal Holiday on RD",C15="Working - Special Holiday on RD",C15="Legal Holiday",C15="Legal Holiday on RD",C15="Special Holiday on RD",C15="Leave")),BQ14,0)</f>
        <v>0</v>
      </c>
      <c r="CX14" s="93" t="n">
        <f aca="false">IF(AND(C14="Legal Holiday",OR(C15="Special Holiday",C15="Legal Holiday on RD",C15="Special Holiday on RD",C15="Normal",C15="Rest Day",C15="Working - Legal Holiday on RD",C15="Working - Special Holiday on RD",C15="Working - Rest Day",C15="Leave")),BQ14,0)</f>
        <v>0</v>
      </c>
      <c r="CY14" s="93" t="n">
        <f aca="false">IF(AND(C14="Special Holiday",OR(C15="Legal Holiday",C15="Working - Legal Holiday on RD",C15="Working - Special Holiday on RD",C15="Normal",C15="Rest Day",C15="Legal Holiday on RD",C15="Special Holiday on RD",C15="Working - Rest Day",C15="Leave")),BQ14,0)</f>
        <v>0</v>
      </c>
      <c r="CZ14" s="93" t="n">
        <f aca="false">IF(AND(C14="Working - Legal Holiday on RD",OR(C15="Legal Holiday",C15="Special Holiday",C15="Working - Special Holiday on RD",C15="Normal",C15="Rest Day",C15="Special Holiday on RD",C15="Working - Rest Day",C15="Leave")),BQ14,0)</f>
        <v>0</v>
      </c>
      <c r="DA14" s="93" t="n">
        <f aca="false">IF(AND(C14="Working - Special Holiday on RD",OR(C15="Legal Holiday",C15="Special Holiday",C15="Working - Legal Holiday on RD",C15="Normal",C15="Rest Day",C15="Leave",C15="Legal Holiday on RD")),BQ14,0)</f>
        <v>0</v>
      </c>
      <c r="DB14" s="93" t="n">
        <f aca="false">IF(OR(C13="Special Holiday",C13="Working - Legal Holiday on RD",C13="Working - Special Holiday on RD",C13="Legal Holiday"),BQ13,0)</f>
        <v>0</v>
      </c>
      <c r="DC14" s="93" t="n">
        <f aca="false">IF(AND(C14="Working - Rest Day",OR(C13="Special Holiday",C13="Working - Legal Holiday on RD",C13="Working - Special Holiday on RD",C13="Normal",C13="Legal Holiday")),BQ13,0)</f>
        <v>0</v>
      </c>
      <c r="DD14" s="93" t="n">
        <f aca="false">IF(AND(OR(C14="Legal Holiday",C14="Legal Holiday on a Rest Day"),OR(C13="Special Holiday",C13="Working - Legal Holiday on RD",C13="Working - Special Holiday on RD",C13="Normal")),BQ13,0)</f>
        <v>0</v>
      </c>
      <c r="DE14" s="93" t="n">
        <f aca="false">IF(AND(OR(C14="Special Holiday",C14="Special Holiday on RD"),OR(C13="Legal Holiday",C13="Working - Legal Holiday on RD",C13="Working - Special Holiday on RD",C13="Normal")),BQ13,0)</f>
        <v>0</v>
      </c>
      <c r="DF14" s="93" t="n">
        <f aca="false">IF(AND(C14="Working - Legal Holiday on a RD",OR(C13="Legal Holiday",C13="Special Holiday",C13="Working - Special Holiday on RD",C13="Normal")),BQ13,0)</f>
        <v>0</v>
      </c>
      <c r="DG14" s="93" t="n">
        <f aca="false">IF(AND(C14="Working - Special Holiday on RD",OR(C13="Legal Holiday",C13="Special Holiday",C13="Working - Legal Holiday on RD",C13="Normal")),BQ13,0)</f>
        <v>0</v>
      </c>
      <c r="DH14" s="93" t="n">
        <f aca="false">IF(OR(C15="Special Holiday",C15="Working - Legal Holiday on RD",C15="Working - Special Holiday on RD",C15="Legal Holiday",C15="Legal Holiday on RD",C15="Special Holiday on RD",),BO14,0)</f>
        <v>0</v>
      </c>
      <c r="DI14" s="93" t="n">
        <f aca="false">IF(AND(C14="Working - Rest Day",OR(C15="Special Holiday",C15="Working - Legal Holiday on RD",C15="Working - Special Holiday on RD",C15="Legal Holiday",C15="Legal Holiday on RD",C15="Special Holiday on RD",C15="Leave")),BO14,0)</f>
        <v>0</v>
      </c>
      <c r="DJ14" s="93" t="n">
        <f aca="false">IF(AND(C14="Legal Holiday",OR(C15="Special Holiday",C15="Legal Holiday on RD",C15="Special Holiday on RD",C15="Normal",C15="Rest Day",C15="Working - Legal Holiday on RD",C15="Working - Special Holiday on RD",C15="Working - Rest Day",C15="Leave")),BO14,0)</f>
        <v>0</v>
      </c>
      <c r="DK14" s="93" t="n">
        <f aca="false">IF(AND(C14="Special Holiday",OR(C15="Legal Holiday",C15="Working - Legal Holiday on RD",C15="Working - Special Holiday on RD",C15="Normal",C15="Rest Day",C15="Legal Holiday on RD",C15="Special Holiday on RD",C15="Working - Rest Day",C15="Leave")),BO14,0)</f>
        <v>0</v>
      </c>
      <c r="DL14" s="93" t="n">
        <f aca="false">IF(AND(C14="Working - Legal Holiday on RD",OR(C15="Legal Holiday",C15="Special Holiday",C15="Working - Special Holiday on RD",C15="Normal",C15="Rest Day",C15="Special Holiday on RD",C15="Working - Rest Day",C15="Leave")),BO14,0)</f>
        <v>0</v>
      </c>
      <c r="DM14" s="93" t="n">
        <f aca="false">IF(AND(C14="Working - Special Holiday on RD",OR(C15="Legal Holiday",C15="Special Holiday",C15="Working - Legal Holiday on RD",C15="Normal",C15="Rest Day",C15="Leave",C15="Legal Holiday on RD")),BO14,0)</f>
        <v>0</v>
      </c>
      <c r="DN14" s="93" t="n">
        <f aca="false">IF(OR(C13="Special Holiday",C13="Working - Legal Holiday on RD",C13="Working - Special Holiday on RD",C13="Legal Holiday"),BO13,0)</f>
        <v>0</v>
      </c>
      <c r="DO14" s="93" t="n">
        <f aca="false">IF(AND(C14="Working - Rest Day",OR(C13="Special Holiday",C13="Working - Legal Holiday on RD",C13="Working - Special Holiday on RD",C13="Normal",C13="Legal Holiday")),BO13,0)</f>
        <v>0</v>
      </c>
      <c r="DP14" s="93" t="n">
        <f aca="false">IF(AND(OR(C14="Legal Holiday",C14="Legal Holiday on a Rest Day"),OR(C13="Special Holiday",C13="Working - Legal Holiday on RD",C13="Working - Special Holiday on RD",C13="Normal")),BO13,0)</f>
        <v>0</v>
      </c>
      <c r="DQ14" s="93" t="n">
        <f aca="false">IF(AND(OR(C14="Special Holiday",C14="Special Holiday on RD"),OR(C13="Legal Holiday",C13="Working - Legal Holiday on RD",C13="Working - Special Holiday on RD",C13="Normal")),BO13,0)</f>
        <v>0</v>
      </c>
      <c r="DR14" s="93" t="n">
        <f aca="false">IF(AND(C14="Working - Legal Holiday on a RD",OR(C13="Legal Holiday",C13="Special Holiday",C13="Working - Special Holiday on RD",C13="Normal")),BO13,0)</f>
        <v>0</v>
      </c>
      <c r="DS14" s="93" t="n">
        <f aca="false">IF(AND(C14="Working - Special Holiday on RD",OR(C13="Legal Holiday",C13="Special Holiday",C13="Working - Legal Holiday on RD",C13="Normal")),BO13,0)</f>
        <v>0</v>
      </c>
    </row>
    <row r="15" s="6" customFormat="true" ht="14.25" hidden="false" customHeight="true" outlineLevel="0" collapsed="false">
      <c r="A15" s="79" t="n">
        <v>46190</v>
      </c>
      <c r="B15" s="80" t="str">
        <f aca="false">TEXT(WEEKDAY(A15),"ddd")</f>
        <v>Wed</v>
      </c>
      <c r="C15" s="81" t="s">
        <v>4</v>
      </c>
      <c r="D15" s="82" t="n">
        <v>0.354166666666667</v>
      </c>
      <c r="E15" s="79" t="n">
        <v>46190</v>
      </c>
      <c r="F15" s="82" t="n">
        <v>0.8125</v>
      </c>
      <c r="G15" s="82" t="n">
        <v>0.354166666666667</v>
      </c>
      <c r="H15" s="82" t="n">
        <v>0.8125</v>
      </c>
      <c r="I15" s="83" t="n">
        <f aca="false">IFERROR(IF(N15="Strict",IF(C15="Normal",IFERROR(IF((HOUR(IF(AQ15&lt;=AR15,BB15-AR15,BB15-AQ15))+MINUTE(IF(AQ15&lt;=AR15,BB15-AR15,BB15-AQ15))/60)&gt;=6,HOUR(IF(AQ15&lt;=AR15,BB15-AR15,BB15-AQ15))+MINUTE(IF(AQ15&lt;=AR15,BB15-AR15,BB15-AQ15))/60-1,HOUR(IF(AQ15&lt;=AR15,BB15-AR15,BB15-AQ15))+MINUTE(IF(AQ15&lt;=AR15,BB15-AR15,BB15-AQ15))/60),0),0),IF(N15="Flexi",IF(C15="Normal",IF((HOUR(BB15-AR15)+MINUTE(BB15-AR15)/60)&gt;=6,(HOUR(BB15-AR15)+MINUTE(BB15-AR15)/60)-1,(HOUR(BB15-AR15)+MINUTE(BB15-AR15)/60)),0),0)),0)</f>
        <v>0</v>
      </c>
      <c r="J15" s="82"/>
      <c r="K15" s="79"/>
      <c r="L15" s="84"/>
      <c r="M15" s="79"/>
      <c r="N15" s="79" t="s">
        <v>2</v>
      </c>
      <c r="O15" s="85"/>
      <c r="P15" s="85"/>
      <c r="Q15" s="86" t="s">
        <v>110</v>
      </c>
      <c r="R15" s="87" t="n">
        <f aca="false">IF(AND(C15="Normal",I15&gt;0),(8-S15),0)-IF(AND(C15="Normal",OR(C16="Special Holiday",C16="Working - Legal Holiday on RD",C16="Working - Special Holiday on RD",C16="Legal Holiday",C16="Legal Holiday on RD",C16="Special Holiday on RD")),BN15,0)+IF(AND(OR(C15="Normal",C15="Leave",C15="Rest Day"),OR(C14="Special Holiday",C14="Working - Legal Holiday on RD",C14="Working - Special Holiday on RD",C14="Legal Holiday")),BN14,0)</f>
        <v>0</v>
      </c>
      <c r="S15" s="87" t="n">
        <f aca="false">IF(C15="Normal",IF(P15="Remain Lates",(IFERROR(IF(N15="Strict",IF(C15="Normal",IF(AQ15&lt;=AR15,HOUR(AR15-AQ15)+(MINUTE(AR15-AQ15)/60),0)+IF(BB15&lt;=BC15,HOUR(BC15-BB15)+(MINUTE(BC15-BB15)/60),0),0),IF(I15=0,0,(8-I15))),0)-(O15/60)),IF((O15/60)&gt;=IFERROR(IF(N15="Strict",IF(C15="Normal",IF(AQ15&lt;=AR15,HOUR(AR15-AQ15)+(MINUTE(AR15-AQ15)/60),0)+IF(BB15&lt;=BC15,HOUR(BC15-BB15)+(MINUTE(BC15-BB15)/60),0),0),IF(I15=0,0,(8-I15))),0),0,IFERROR(IF(N15="Strict",IF(C15="Normal",IF(AQ15&lt;=AR15,HOUR(AR15-AQ15)+(MINUTE(AR15-AQ15)/60),0)+IF(BB15&lt;=BC15,HOUR(BC15-BB15)+(MINUTE(BC15-BB15)/60),0),0),IF(I15=0,0,(8-I15))),0))),0)</f>
        <v>0</v>
      </c>
      <c r="T15" s="88" t="n">
        <f aca="false">IF(AND(C15="Working - Rest Day",BW15&gt;0),(8-IF(BV15&gt;6,BV15-1,BV15)),0)-IF(AND(C15="Working - Rest Day",OR(C16="Special Holiday",C16="Working - Legal Holiday on RD",C16="Working - Special Holiday on RD",C16="Legal Holiday",C16="Legal Holiday on RD",C16="Special Holiday on RD")),BN15,0)+IF(AND(C15="Working - Rest Day",OR(C14="Special Holiday",C14="Working - Legal Holiday on RD",C14="Working - Special Holiday on RD",C14="Legal Holiday")),BN14,0)</f>
        <v>0</v>
      </c>
      <c r="U15" s="88" t="n">
        <f aca="false">IF(AND(C15="Legal Holiday",BW15&gt;0),(8-IF(BV15&gt;6,BV15-1,BV15)),0)-IF(AND(C15="Legal Holiday",OR(C16="Special Holiday",C16="Legal Holiday on RD",C16="Special Holiday on RD",C16="Normal",C16="Rest Day",C16="Working - Legal Holiday on RD",C16="Working - Special Holiday on RD",C16="Working - Rest Day",C16="Leave")),BN15,0)+IF(AND(OR(C15="Legal Holiday",C15="Legal Holiday on RD"),OR(C14="Special Holiday",C14="Working - Legal Holiday on RD",C14="Working - Special Holiday on RD",C14="Normal",C14="Working - Rest Day")),BN14,0)</f>
        <v>0</v>
      </c>
      <c r="V15" s="88" t="n">
        <f aca="false">IF(AND(C15="Special Holiday",BW15&gt;0),(8-IF(BV15&gt;6,BV15-1,BV15)),0)-IF(AND(C15="Special Holiday",OR(C16="Legal Holiday",C16="Working - Legal Holiday on RD",C16="Working - Special Holiday on RD",C16="Normal",C16="Rest Day",C16="Legal Holiday on RD",C16="Special Holiday on RD",C16="Working - Rest Day",C16="Leave")),BN15,0)+IF(AND(OR(C15="Special Holiday",C15="Special Holiday on RD"),OR(C14="Legal Holiday",C14="Working - Legal Holiday on RD",C14="Working - Special Holiday on RD",C14="Working - Rest Day",C14="Normal")),BN14,0)</f>
        <v>0</v>
      </c>
      <c r="W15" s="88" t="n">
        <f aca="false">IF(AND(C15="Working - Legal Holiday on RD",BW15&gt;0),(8-IF(BV15&gt;6,BV15-1,BV15)),0)-IF(AND(C15="Working - Legal Holiday on RD",OR(C16="Legal Holiday",C16="Special Holiday",C16="Working - Special Holiday on RD",C16="Normal",C16="Rest Day",C16="Special Holiday on RD",C16="Working - Rest Day",C16="Leave")),BN15,0)+IF(AND(C15="Working - Legal Holiday on RD",OR(C14="Legal Holiday",C14="Special Holiday",C14="Working - Special Holiday on RD",C14="Working - Rest Day",C14="Normal")),BN14,0)</f>
        <v>0</v>
      </c>
      <c r="X15" s="88" t="n">
        <f aca="false">IF(AND(C15="Working - Special Holiday on RD",BW15&gt;0),(8-IF(BV15&gt;6,BV15-1,BV15)),0)-IF(AND(C15="Working - Special Holiday on RD",OR(C16="Legal Holiday",C16="Special Holiday",C16="Working - Legal Holiday on RD",C16="Normal",C16="Rest Day",C16="Leave",C16="Working - Rest Day",C16="Legal Holiday on RD")),BN15,0)+IF(AND(C15="Working - Special Holiday on RD",OR(C14="Legal Holiday",C14="Special Holiday",C14="Working - Legal Holiday on RD",C14="Normal",C14="Working - Rest Day")),BN14,0)</f>
        <v>0</v>
      </c>
      <c r="Y15" s="88" t="n">
        <f aca="false">IFERROR(IF(C15="Normal",HOUR(AY15-AV15)+MINUTE(AY15-AV15)/60,0),0)-IFERROR(IF(C15="Normal",HOUR(BA15-AX15)+MINUTE(BA15-AX15)/60,0),0)-IF(AND(C15="Normal",OR(C16="Special Holiday",C16="Working - Legal Holiday on RD",C16="Working - Special Holiday on RD",C16="Legal Holiday",C16="Legal Holiday on RD",C16="Special Holiday on RD")),BP15,0)+IF(AND(OR(C15="Normal",C15="Rest Day",C15="Leave"),OR(C14="Special Holiday",C14="Working - Legal Holiday on RD",C14="Working - Special Holiday on RD",C14="Legal Holiday")),BP14,0)</f>
        <v>0</v>
      </c>
      <c r="Z15" s="88" t="n">
        <f aca="false">IFERROR(IF(C15="Working - Rest Day",HOUR(AY15-AV15)+MINUTE(AY15-AV15)/60,0),0)-IFERROR(IF(C15="Working - Rest Day",HOUR(BA15-AX15)+MINUTE(BA15-AX15)/60,0),0)-IF(AND(C15="Working - Rest Day",OR(C16="Special Holiday",C16="Working - Legal Holiday on RD",C16="Working - Special Holiday on RD",C16="Legal Holiday",C16="Legal Holiday on RD",C16="Special Holiday on RD")),BP15,0)+IF(AND(C15="Working - Rest Day",OR(C14="Special Holiday",C14="Working - Legal Holiday on RD",C14="Working - Special Holiday on RD",C14="Legal Holiday")),BP14,0)</f>
        <v>0</v>
      </c>
      <c r="AA15" s="88" t="n">
        <f aca="false">IFERROR(IF(C15="Legal Holiday",HOUR(AY15-AV15)+MINUTE(AY15-AV15)/60,0),0)-IFERROR(IF(C15="Legal Holiday",HOUR(BA15-AX15)+MINUTE(BA15-AX15)/60,0),0)-IF(AND(C15="Legal Holiday",OR(C16="Special Holiday",C16="Legal Holiday on RD",C16="Special Holiday on RD",C16="Normal",C16="Rest Day",C16="Working - Legal Holiday on RD",C16="Working - Special Holiday on RD",C16="Working - Rest Day",C16="Leave")),BP15,0)+IF(AND(OR(C15="Legal Holiday",C15="Legal Holiday on RD"),OR(C14="Special Holiday",C14="Working - Legal Holiday on RD",C14="Working - Special Holiday on RD",C14="Normal",C14="Working - Rest Day")),BP14,0)</f>
        <v>0</v>
      </c>
      <c r="AB15" s="88" t="n">
        <f aca="false">IFERROR(IF(C15="Special Holiday",HOUR(AY15-AV15)+MINUTE(AY15-AV15)/60,0),0)-IFERROR(IF(C15="Special Holiday",HOUR(BA15-AX15)+MINUTE(BA15-AX15)/60,0),0)-IF(AND(C15="Special Holiday",OR(C16="Legal Holiday",C16="Working - Legal Holiday on RD",C16="Working - Special Holiday on RD",C16="Normal",C16="Rest Day",C16="Legal Holiday on RD",C16="Special Holiday on RD",C16="Working - Rest Day",C16="Leave")),BP15,0)+IF(AND(OR(C15="Special Holiday",C15="Special Holiday on RD"),OR(C14="Legal Holiday",C14="Working - Legal Holiday on RD",C14="Working - Special Holiday on RD",C14="Normal",C14="Working - Rest Day")),BP14,0)</f>
        <v>0</v>
      </c>
      <c r="AC15" s="88" t="n">
        <f aca="false">IFERROR(IF(C15="Working - Legal Holiday on RD",HOUR(AY15-AV15)+MINUTE(AY15-AV15)/60,0),0)-IFERROR(IF(C15="Working - Legal Holiday on RD",HOUR(BA15-AX15)+MINUTE(BA15-AX15)/60,0),0)-IF(AND(C15="Working - Legal Holiday on RD",OR(C16="Legal Holiday",C16="Special Holiday",C16="Working - Special Holiday on RD",C16="Normal",C16="Rest Day",C16="Special Holiday on RD",C16="Working - Rest Day",C16="Leave")),BP15,0)+IF(AND(C15="Working - Legal Holiday on RD",OR(C14="Legal Holiday",C14="Special Holiday",C14="Working - Special Holiday on RD",C14="Normal",C14="Working - Rest Day")),BP14,0)</f>
        <v>0</v>
      </c>
      <c r="AD15" s="88" t="n">
        <f aca="false">IFERROR(IF(C15="Working - Special Holiday on RD",HOUR(AY15-AV15)+MINUTE(AY15-AV15)/60,0),0)-IFERROR(IF(C15="Working - Special Holiday on RD",HOUR(BA15-AX15)+MINUTE(BA15-AX15)/60,0),0)-IF(AND(C15="Working - Special Holiday on RD",OR(C16="Legal Holiday",C16="Special Holiday",C16="Working - Legal Holiday on RD",C16="Normal",C16="Rest Day",C16="Working - Rest Day",C16="Leave",C16="Legal Holiday on RD")),BP15,0)+IF(AND(C15="Working - Special Holiday on RD",OR(C14="Legal Holiday",C14="Special Holiday",C14="Working - Legal Holiday on RD",C14="Normal",C14="Working - Rest Day")),BP14,0)</f>
        <v>0</v>
      </c>
      <c r="AE15" s="88" t="n">
        <f aca="false">IFERROR(IF(C15="Normal",HOUR(BA15-AX15)+MINUTE(BA15-AX15)/60,0),0)-IF(AND(C15="Normal",OR(C16="Special Holiday",C16="Working - Legal Holiday on RD",C16="Working - Special Holiday on RD",C16="Legal Holiday",C16="Legal Holiday on RD",C16="Special Holiday on RD")),BQ15,0)+IF(AND(OR(C15="Normal",C15="Rest Day",C15="Leave"),OR(C14="Special Holiday",C14="Working - Legal Holiday on RD",C14="Working - Special Holiday on RD",C14="Legal Holiday")),BQ14,0)</f>
        <v>0</v>
      </c>
      <c r="AF15" s="88" t="n">
        <f aca="false">IFERROR(IF(C15="Working - Rest Day",HOUR(BA15-AX15)+MINUTE(BA15-AX15)/60,0),0)-IF(AND(C15="Working - Rest Day",OR(C16="Special Holiday",C16="Working - Legal Holiday on RD",C16="Working - Special Holiday on RD",C16="Legal Holiday",C16="Legal Holiday on RD",C16="Special Holiday on RD")),BQ15,0)+IF(AND(C15="Working - Rest Day",OR(C14="Special Holiday",C14="Working - Legal Holiday on RD",C14="Working - Special Holiday on RD",C14="Legal Holiday")),BQ14,0)</f>
        <v>0</v>
      </c>
      <c r="AG15" s="88" t="n">
        <f aca="false">IFERROR(IF(C15="Legal Holiday",HOUR(BA15-AX15)+MINUTE(BA15-AX15)/60,0),0)-IF(AND(C15="Legal Holiday",OR(C16="Special Holiday",C16="Legal Holiday on RD",C16="Special Holiday on RD",C16="Normal",C16="Rest Day",C16="Working - Legal Holiday on RD",C16="Working - Special Holiday on RD",C16="Working - Rest Day",C16="Leave")),BQ15,0)+IF(AND(OR(C15="Legal Holiday",C15="Legal Holiday on RD"),OR(C14="Special Holiday",C14="Working - Legal Holiday on RD",C14="Working - Special Holiday on RD",C14="Normal",C14="Working - Rest Day")),BQ14,0)</f>
        <v>0</v>
      </c>
      <c r="AH15" s="88" t="n">
        <f aca="false">IFERROR(IF(C15="Special Holiday",HOUR(BA15-AX15)+MINUTE(BA15-AX15)/60,0),0)-IF(AND(C15="Special Holiday",OR(C16="Legal Holiday",C16="Working - Legal Holiday on RD",C16="Working - Special Holiday on RD",C16="Normal",C16="Rest Day",C16="Legal Holiday on RD",C16="Special Holiday on RD",C16="Working - Rest Day",C16="Leave")),BQ15,0)+IF(AND(OR(C15="Special Holiday",C15="Special Holiday on RD"),OR(C14="Legal Holiday",C14="Working - Legal Holiday on RD",C14="Working - Special Holiday on RD",C14="Normal",C14="Working - Rest Day")),BQ14,0)</f>
        <v>0</v>
      </c>
      <c r="AI15" s="88" t="n">
        <f aca="false">IFERROR(IF(C15="Working - Legal Holiday on RD",HOUR(BA15-AX15)+MINUTE(BA15-AX15)/60,0),0)-IF(AND(C15="Working - Legal Holiday on RD",OR(C16="Legal Holiday",C16="Special Holiday",C16="Working - Special Holiday on RD",C16="Normal",C16="Rest Day",C16="Special Holiday on RD",C16="Working - Rest Day",C16="Leave")),BQ15,0)+IF(AND(C15="Working - Legal Holiday on RD",OR(C14="Legal Holiday",C14="Special Holiday",C14="Working - Special Holiday on RD",C14="Normal",C14="Working - Rest Day")),BQ14,0)</f>
        <v>0</v>
      </c>
      <c r="AJ15" s="88" t="n">
        <f aca="false">IFERROR(IF(C15="Working - Special Holiday on RD",HOUR(BA15-AX15)+MINUTE(BA15-AX15)/60,0),0)-IF(AND(C15="Working - Special Holiday on RD",OR(C16="Legal Holiday",C16="Special Holiday",C16="Working - Legal Holiday on RD",C16="Normal",C16="Rest Day",C16="Working - Rest Day",C16="Leave",C16="Legal Holiday on RD")),BQ15,0)+IF(AND(C15="Working - Special Holiday on RD",OR(C14="Legal Holiday",C14="Special Holiday",C14="Working - Legal Holiday on RD",C14="Normal",C14="Working - Rest Day")),BQ14,0)</f>
        <v>0</v>
      </c>
      <c r="AK15" s="88" t="n">
        <f aca="false">IFERROR(IF(C15="Normal",HOUR(BF15-AU15)+(MINUTE(BF15-AU15)/60),0),0)-IF(AND(C15="Normal",OR(C16="Special Holiday",C16="Working - Legal Holiday on RD",C16="Working - Special Holiday on RD",C16="Legal Holiday",C16="Legal Holiday on RD",C16="Special Holiday on RD")),BO15,0)+IF(AND(OR(C15="Normal",C15="Rest Day",C15="Leave"),OR(C14="Special Holiday",C14="Working - Legal Holiday on RD",C14="Working - Special Holiday on RD",C14="Legal Holiday")),BO14,0)</f>
        <v>0</v>
      </c>
      <c r="AL15" s="88" t="n">
        <f aca="false">IFERROR(IF(C15="Working - Rest Day",HOUR(BF15-AU15)+(MINUTE(BF15-AU15)/60),0),0)-IF(AND(C15="Working - Rest Day",OR(C16="Special Holiday",C16="Working - Legal Holiday on RD",C16="Working - Special Holiday on RD",C16="Legal Holiday",C16="Legal Holiday on RD",C16="Special Holiday on RD")),BO15,0)+IF(AND(C15="Working - Rest Day",OR(C14="Special Holiday",C14="Working - Legal Holiday on RD",C14="Working - Special Holiday on RD",C14="Legal Holiday")),BO14,0)</f>
        <v>0</v>
      </c>
      <c r="AM15" s="88" t="n">
        <f aca="false">IFERROR(IF(C15="Legal Holiday",HOUR(BF15-AU15)+(MINUTE(BF15-AU15)/60),0),0)-IF(AND(C15="Legal Holiday",OR(C16="Special Holiday",C16="Legal Holiday on RD",C16="Special Holiday on RD",C16="Normal",C16="Rest Day",C16="Working - Legal Holiday on RD",C16="Working - Special Holiday on RD",C16="Working - Rest Day",C16="Leave")),BO15,0)+IF(AND(OR(C15="Legal Holiday",C15="Legal Holiday on RD"),OR(C14="Special Holiday",C14="Working - Legal Holiday on RD",C14="Working - Special Holiday on RD",C14="Normal",C14="Working - Rest Day")),BO14,0)</f>
        <v>0</v>
      </c>
      <c r="AN15" s="88" t="n">
        <f aca="false">IFERROR(IF(C15="Special Holiday",HOUR(BF15-AU15)+(MINUTE(BF15-AU15)/60),0),0)-IF(AND(C15="Special Holiday",OR(C16="Legal Holiday",C16="Working - Legal Holiday on RD",C16="Working - Special Holiday on RD",C16="Normal",C16="Rest Day",C16="Legal Holiday on RD",C16="Special Holiday on RD",C16="Working - Rest Day",C16="Leave")),BO15,0)+IF(AND(OR(C15="Special Holiday",C15="Special Holiday on RD"),OR(C14="Legal Holiday",C14="Working - Legal Holiday on RD",C14="Working - Special Holiday on RD",C14="Normal",C14="Working - Rest Day")),BO14,0)</f>
        <v>0</v>
      </c>
      <c r="AO15" s="88" t="n">
        <f aca="false">IFERROR(IF(C15="Working - Legal Holiday on RD",HOUR(BF15-AU15)+(MINUTE(BF15-AU15)/60),0),0)-IF(AND(C15="Working - Legal Holiday on RD",OR(C16="Legal Holiday",C16="Special Holiday",C16="Working - Special Holiday on RD",C16="Normal",C16="Rest Day",C16="Special Holiday on RD",C16="Working - Rest Day",C16="Leave")),BO15,0)+IF(AND(C15="Working - Legal Holiday on RD",OR(C14="Legal Holiday",C14="Special Holiday",C14="Working - Special Holiday on RD",C14="Normal",C14="Working - Rest Day")),BO14,0)</f>
        <v>0</v>
      </c>
      <c r="AP15" s="88" t="n">
        <f aca="false">IFERROR(IF(C15="Working - Special Holiday on RD",HOUR(BF15-AU15)+(MINUTE(BF15-AU15)/60),0),0)-IF(AND(C15="Working - Special Holiday on RD",OR(C16="Legal Holiday",C16="Special Holiday",C16="Working - Legal Holiday on RD",C16="Normal",C16="Rest Day",C16="Working - Rest Day",C16="Leave",C16="Legal Holiday on RD")),BO15,0)+IF(AND(C15="Working - Special Holiday on RD",OR(C14="Legal Holiday",C14="Special Holiday",C14="Working - Legal Holiday on RD",C14="Normal",C14="Working - Rest Day")),BO14,0)</f>
        <v>0</v>
      </c>
      <c r="AQ15" s="89" t="str">
        <f aca="false">TEXT(D15,"HH:MM")&amp;" "&amp;TEXT(A15,"DD-mmm-YY")</f>
        <v>08:30 17-Jun-26</v>
      </c>
      <c r="AR15" s="89" t="str">
        <f aca="false">TEXT(G15,"HH:MM")&amp;" "&amp;TEXT(A15,"DD-mmm-YY")</f>
        <v>08:30 17-Jun-26</v>
      </c>
      <c r="AS15" s="60" t="str">
        <f aca="false">IF($AR$1&lt;D15,AR15,IF(AT15&lt;=AR15,AR15,AT15))</f>
        <v>22:00 17-Jun-26</v>
      </c>
      <c r="AT15" s="60" t="str">
        <f aca="false">IF(AND(D15&gt;=0,D15&lt;0.25),TEXT($AR$1,"HH:MM")&amp;" "&amp;TEXT((A15-1),"dd-mmm-yy"),TEXT($AR$1,"HH:MM")&amp;" "&amp;TEXT(A15,"dd-mmm-yy"))</f>
        <v>22:00 17-Jun-26</v>
      </c>
      <c r="AU15" s="40" t="e">
        <f aca="false" t="array" ref="AU15:AU15">MAX(AQ15:AS15+0)</f>
        <v>#VALUE!</v>
      </c>
      <c r="AV15" s="60" t="str">
        <f aca="false">TEXT(J15,"HH:MM")&amp;" "&amp;TEXT(K15,"DD-mmm-YY")</f>
        <v>00:00 00-Jan-00</v>
      </c>
      <c r="AW15" s="60" t="str">
        <f aca="false">IF(K15&lt;A15,TEXT($AR$1,"HH:MM")&amp;" "&amp;TEXT((A15-1),"dd-mmm-yy"),IF(AND(D15&gt;0,D15&lt;0.25,L15&lt;0.916666666666667,A15&lt;M15),TEXT($AR$1,"HH:MM")&amp;" "&amp;TEXT((A15-1),"dd-mmm-yy"),TEXT($AR$1,"HH:MM")&amp;" "&amp;TEXT(A15,"dd-mmm-yy")))</f>
        <v>22:00 16-Jun-26</v>
      </c>
      <c r="AX15" s="40" t="e">
        <f aca="false" t="array" ref="AX15:AX15">MAX(AV15:AW15+0)</f>
        <v>#VALUE!</v>
      </c>
      <c r="AY15" s="60" t="str">
        <f aca="false">TEXT(L15,"HH:MM")&amp;" "&amp;TEXT(M15,"DD-mmm-YY")</f>
        <v>00:00 00-Jan-00</v>
      </c>
      <c r="AZ15" s="60" t="str">
        <f aca="false">IF(AND(D15&gt;=0,D15&lt;0.25,L15&lt;0.916666666666667,A15&gt;M15),TEXT($AR$2,"HH:MM")&amp;" "&amp;TEXT(A15,"DD-mmm-YY"),TEXT($AR$2,"HH:MM")&amp;" "&amp;TEXT((A15+1),"DD-mmm-YY"))</f>
        <v>06:00 18-Jun-26</v>
      </c>
      <c r="BA15" s="40" t="e">
        <f aca="false" t="array" ref="BA15:BA15">MIN(AY15:AZ15+0)</f>
        <v>#VALUE!</v>
      </c>
      <c r="BB15" s="60" t="str">
        <f aca="false">IF(G15&gt;H15,TEXT(H15,"HH:MM")&amp;" "&amp;TEXT(E15,"DD-mmm-YY"),IF(H15&gt;1,TEXT(H15,"HH:MM")&amp;" "&amp;TEXT(E15,"DD-mmm-YY"),TEXT(H15,"HH:MM")&amp;" "&amp;TEXT(A15,"DD-mmm-YY")))</f>
        <v>19:30 17-Jun-26</v>
      </c>
      <c r="BC15" s="60" t="str">
        <f aca="false">IF(N15="Flexi",TEXT(G15+$BC$1,"HH:MM")&amp;" "&amp;TEXT(E15,"DD-mmm-YY"),TEXT(F15,"HH:MM")&amp;" "&amp;TEXT(E15,"DD-mmm-YY"))</f>
        <v>19:30 17-Jun-26</v>
      </c>
      <c r="BD15" s="90" t="e">
        <f aca="false" t="array" ref="BD15:BD15">MIN(BB15:BC15+0)</f>
        <v>#VALUE!</v>
      </c>
      <c r="BE15" s="60" t="str">
        <f aca="false">IF(D15&gt;0.25,TEXT($AR$2,"HH:MM")&amp;" "&amp;TEXT(IF(BG15&lt;H15,A15+1,E15),"DD-mmm-YY"),IF(D15&gt;=0,TEXT($AR$2,"HH:MM")&amp;" "&amp;TEXT(IF(BG15&lt;H15,A15+1,E15)-1,"DD-mmm-YY"),TEXT($AR$2,"HH:MM")&amp;" "&amp;TEXT(IF(BG15&lt;H15,A15+1,E15),"DD-mmm-YY")))</f>
        <v>06:00 18-Jun-26</v>
      </c>
      <c r="BF15" s="40" t="e">
        <f aca="false" t="array" ref="BF15:BF15">IF(N15="Flexi",IF(AND(BB15&gt;BC15,BB15&lt;BE15),BB15,MIN(BB15:BE15+0)),MIN(BB15:BE15+0))</f>
        <v>#VALUE!</v>
      </c>
      <c r="BG15" s="7" t="n">
        <v>0</v>
      </c>
      <c r="BH15" s="9" t="str">
        <f aca="false">TEXT(BG15,"HH:MM")&amp;" "&amp;TEXT(A15+1,"DD-mmm-YY")</f>
        <v>00:00 18-Jun-26</v>
      </c>
      <c r="BI15" s="9" t="str">
        <f aca="false">AV15</f>
        <v>00:00 00-Jan-00</v>
      </c>
      <c r="BJ15" s="91" t="e">
        <f aca="false" t="array" ref="BJ15:BJ15">MAX(BH15:BI15+0)</f>
        <v>#VALUE!</v>
      </c>
      <c r="BK15" s="9" t="str">
        <f aca="false">TEXT($AR$2,"HH:MM")&amp;" "&amp;TEXT(A15+1,"DD-mmm-YY")</f>
        <v>06:00 18-Jun-26</v>
      </c>
      <c r="BL15" s="9" t="str">
        <f aca="false">AY15</f>
        <v>00:00 00-Jan-00</v>
      </c>
      <c r="BM15" s="91" t="e">
        <f aca="false" t="array" ref="BM15:BM15">MIN(BK15:BL15+0)</f>
        <v>#VALUE!</v>
      </c>
      <c r="BN15" s="13" t="n">
        <f aca="false">IF(IFERROR(IF(E15&gt;A15,IF(BD15&gt;=BD15,HOUR(BD15-BH15)+MINUTE(BD15-BH15)/60,0),0),0)&gt;5,(IFERROR(IF(E15&gt;A15,IF(BD15&gt;=BD15,HOUR(BD15-BH15)+MINUTE(BD15-BH15)/60,0),0),0)-1),IFERROR(IF(E15&gt;A15,IF(BD15&gt;=BD15,HOUR(BD15-BH15)+MINUTE(BD15-BH15)/60,0),0),0))</f>
        <v>0</v>
      </c>
      <c r="BO15" s="13" t="n">
        <f aca="false">IFERROR(IF(E15&gt;A15,HOUR(BF15-BH15)+MINUTE(BF15-BH15)/60,0),0)</f>
        <v>0</v>
      </c>
      <c r="BP15" s="92" t="n">
        <f aca="false">IF(AND(A15&lt;M15,L15&gt;0.25,L15&lt;=0.916666666666667,J15&gt;=0.25),IFERROR(HOUR(AY15-AV15)+MINUTE(AY15-AV15)/60,0),IFERROR(HOUR(AY15-BK15)+MINUTE(AY15-BK15)/60,0))</f>
        <v>0</v>
      </c>
      <c r="BQ15" s="13" t="n">
        <f aca="false">IFERROR(HOUR(BM15-BJ15)+MINUTE(BM15-BJ15)/60,0)</f>
        <v>0</v>
      </c>
      <c r="BR15" s="13" t="n">
        <f aca="false">IF(AND(C15=C15,BW15&gt;0),(8-BV15),0)-BN15</f>
        <v>0</v>
      </c>
      <c r="BS15" s="13" t="n">
        <f aca="false">IFERROR(IF(C15=C15,HOUR(BF15-AU15)+(MINUTE(BF15-AU15)/60),0),0)-BO15</f>
        <v>0</v>
      </c>
      <c r="BT15" s="92" t="n">
        <f aca="false">IFERROR(IF(C15=C15,HOUR(AY15-AV15)+MINUTE(AY15-AV15)/60,0),0)-IFERROR(IF(C15=C15,HOUR(BA15-AX15)+MINUTE(BA15-AX15)/60,0),0)-BP15</f>
        <v>0</v>
      </c>
      <c r="BU15" s="13" t="n">
        <f aca="false">IFERROR(IF(C15=C15,HOUR(BA15-AX15)+MINUTE(BA15-AX15)/60,0),0)-BQ15</f>
        <v>0</v>
      </c>
      <c r="BV15" s="13" t="n">
        <f aca="false">IF(C15=C15,IF(P15="Remain Lates",(IFERROR(IF(N15="Strict",IF(C15=C15,IF(AQ15&lt;=AR15,HOUR(AR15-AQ15)+(MINUTE(AR15-AQ15)/60),0)+IF(BB15&lt;=BC15,HOUR(BC15-BB15)+(MINUTE(BC15-BB15)/60),0),0),IF(BW15=0,0,(8-BW15))),0)-(O15/60)),IF((O15/60)&gt;=IFERROR(IF(N15="Strict",IF(C15=C15,IF(AQ15&lt;=AR15,HOUR(AR15-AQ15)+(MINUTE(AR15-AQ15)/60),0)+IF(BB15&lt;=BC15,HOUR(BC15-BB15)+(MINUTE(BC15-BB15)/60),0),0),IF(BW15=0,0,(8-BW15))),0),0,IFERROR(IF(N15="Strict",IF(C15=C15,IF(AQ15&lt;=AR15,HOUR(AR15-AQ15)+(MINUTE(AR15-AQ15)/60),0)+IF(BB15&lt;=BC15,HOUR(BC15-BB15)+(MINUTE(BC15-BB15)/60),0),0),IF(BW15=0,0,(8-BW15))),0))),0)</f>
        <v>0</v>
      </c>
      <c r="BW15" s="13" t="n">
        <f aca="false">IFERROR(IF(N15="Strict",IF(C15=C15,IFERROR(IF((HOUR(IF(AQ15&lt;=AR15,BB15-AR15,BB15-AQ15))+MINUTE(IF(AQ15&lt;=AR15,BB15-AR15,BB15-AQ15))/60)&gt;=6,HOUR(IF(AQ15&lt;=AR15,BB15-AR15,BB15-AQ15))+MINUTE(IF(AQ15&lt;=AR15,BB15-AR15,BB15-AQ15))/60-1,HOUR(IF(AQ15&lt;=AR15,BB15-AR15,BB15-AQ15))+MINUTE(IF(AQ15&lt;=AR15,BB15-AR15,BB15-AQ15))/60),0),0),IF(N15="Flexi",IF(C15=C15,IF((HOUR(BB15-AR15)+MINUTE(BB15-AR15)/60)&gt;=6,(HOUR(BB15-AR15)+MINUTE(BB15-AR15)/60)-1,(HOUR(BB15-AR15)+MINUTE(BB15-AR15)/60)),0),0)),0)</f>
        <v>0</v>
      </c>
      <c r="BX15" s="93" t="n">
        <f aca="false">IF(OR(C16="Special Holiday",C16="Working - Legal Holiday on RD",C16="Working - Special Holiday on RD",C16="Legal Holiday",C16="Legal Holiday on RD",C16="Special Holiday on RD",),BN15,0)</f>
        <v>0</v>
      </c>
      <c r="BY15" s="93" t="n">
        <f aca="false">IF(AND(C15="Working - Rest Day",OR(C16="Special Holiday",C16="Working - Legal Holiday on RD",C16="Working - Special Holiday on RD",C16="Legal Holiday",C16="Legal Holiday on RD",C16="Special Holiday on RD",C16="Leave")),BN15,0)</f>
        <v>0</v>
      </c>
      <c r="BZ15" s="93" t="n">
        <f aca="false">IF(AND(C15="Legal Holiday",OR(C16="Special Holiday",C16="Legal Holiday on RD",C16="Special Holiday on RD",C16="Normal",C16="Rest Day",C16="Working - Legal Holiday on RD",C16="Working - Special Holiday on RD",C16="Working - Rest Day",C16="Leave")),BN15,0)</f>
        <v>0</v>
      </c>
      <c r="CA15" s="93" t="n">
        <f aca="false">IF(AND(C15="Special Holiday",OR(C16="Legal Holiday",C16="Working - Legal Holiday on RD",C16="Working - Special Holiday on RD",C16="Normal",C16="Rest Day",C16="Legal Holiday on RD",C16="Special Holiday on RD",C16="Working - Rest Day",C16="Leave")),BN15,0)</f>
        <v>0</v>
      </c>
      <c r="CB15" s="93" t="n">
        <f aca="false">IF(AND(C15="Working - Legal Holiday on RD",OR(C16="Legal Holiday",C16="Special Holiday",C16="Working - Special Holiday on RD",C16="Normal",C16="Rest Day",C16="Special Holiday on RD",C16="Working - Rest Day",C16="Leave")),BN15,0)</f>
        <v>0</v>
      </c>
      <c r="CC15" s="93" t="n">
        <f aca="false">IF(AND(C15="Working - Special Holiday on RD",OR(C16="Legal Holiday",C16="Special Holiday",C16="Working - Legal Holiday on RD",C16="Normal",C16="Rest Day",C16="Leave",C16="Legal Holiday on RD")),BN15,0)</f>
        <v>0</v>
      </c>
      <c r="CD15" s="93" t="n">
        <f aca="false">IF(OR(C14="Special Holiday",C14="Working - Legal Holiday on RD",C14="Working - Special Holiday on RD",C14="Legal Holiday"),BN14,0)</f>
        <v>0</v>
      </c>
      <c r="CE15" s="93" t="n">
        <f aca="false">IF(AND(C15="Working - Rest Day",OR(C14="Special Holiday",C14="Working - Legal Holiday on RD",C14="Working - Special Holiday on RD",C14="Normal",C14="Legal Holiday")),BN14,0)</f>
        <v>0</v>
      </c>
      <c r="CF15" s="93" t="n">
        <f aca="false">IF(AND(OR(C15="Legal Holiday",C15="Legal Holiday on a Rest Day"),OR(C14="Special Holiday",C14="Working - Legal Holiday on RD",C14="Working - Special Holiday on RD",C14="Normal")),BN14,0)</f>
        <v>0</v>
      </c>
      <c r="CG15" s="93" t="n">
        <f aca="false">IF(AND(OR(C15="Special Holiday",C15="Special Holiday on RD"),OR(C14="Legal Holiday",C14="Working - Legal Holiday on RD",C14="Working - Special Holiday on RD",C14="Normal")),BN14,0)</f>
        <v>0</v>
      </c>
      <c r="CH15" s="93" t="n">
        <f aca="false">IF(AND(C15="Working - Legal Holiday on a RD",OR(C14="Legal Holiday",C14="Special Holiday",C14="Working - Special Holiday on RD",C14="Normal")),BN14,0)</f>
        <v>0</v>
      </c>
      <c r="CI15" s="93" t="n">
        <f aca="false">IF(AND(C15="Working - Special Holiday on RD",OR(C14="Legal Holiday",C14="Special Holiday",C14="Working - Legal Holiday on RD",C14="Normal")),BN14,0)</f>
        <v>0</v>
      </c>
      <c r="CJ15" s="93" t="n">
        <f aca="false">IF(OR(C16="Special Holiday",C16="Working - Legal Holiday on RD",C16="Working - Special Holiday on RD",C16="Legal Holiday",C16="Legal Holiday on RD",C16="Special Holiday on RD",),BP15,0)</f>
        <v>0</v>
      </c>
      <c r="CK15" s="93" t="n">
        <f aca="false">IF(AND(C15="Working - Rest Day",OR(C16="Special Holiday",C16="Working - Legal Holiday on RD",C16="Working - Special Holiday on RD",C16="Legal Holiday",C16="Legal Holiday on RD",C16="Special Holiday on RD",C16="Leave")),BP15,0)</f>
        <v>0</v>
      </c>
      <c r="CL15" s="93" t="n">
        <f aca="false">IF(AND(C15="Legal Holiday",OR(C16="Special Holiday",C16="Legal Holiday on RD",C16="Special Holiday on RD",C16="Normal",C16="Rest Day",C16="Working - Legal Holiday on RD",C16="Working - Special Holiday on RD",C16="Working - Rest Day",C16="Leave")),BP15,0)</f>
        <v>0</v>
      </c>
      <c r="CM15" s="93" t="n">
        <f aca="false">IF(AND(C15="Special Holiday",OR(C16="Legal Holiday",C16="Working - Legal Holiday on RD",C16="Working - Special Holiday on RD",C16="Normal",C16="Rest Day",C16="Legal Holiday on RD",C16="Special Holiday on RD",C16="Working - Rest Day",C16="Leave")),BP15,0)</f>
        <v>0</v>
      </c>
      <c r="CN15" s="93" t="n">
        <f aca="false">IF(AND(C15="Working - Legal Holiday on RD",OR(C16="Legal Holiday",C16="Special Holiday",C16="Working - Special Holiday on RD",C16="Normal",C16="Rest Day",C16="Special Holiday on RD",C16="Working - Rest Day",C16="Leave")),BP15,0)</f>
        <v>0</v>
      </c>
      <c r="CO15" s="93" t="n">
        <f aca="false">IF(AND(C15="Working - Special Holiday on RD",OR(C16="Legal Holiday",C16="Special Holiday",C16="Working - Legal Holiday on RD",C16="Normal",C16="Rest Day",C16="Leave",C16="Legal Holiday on RD")),BP15,0)</f>
        <v>0</v>
      </c>
      <c r="CP15" s="93" t="n">
        <f aca="false">IF(OR(C14="Special Holiday",C14="Working - Legal Holiday on RD",C14="Working - Special Holiday on RD",C14="Legal Holiday"),BP14,0)</f>
        <v>0</v>
      </c>
      <c r="CQ15" s="93" t="n">
        <f aca="false">IF(AND(C15="Working - Rest Day",OR(C14="Special Holiday",C14="Working - Legal Holiday on RD",C14="Working - Special Holiday on RD",C14="Normal",C14="Legal Holiday")),BP14,0)</f>
        <v>0</v>
      </c>
      <c r="CR15" s="93" t="n">
        <f aca="false">IF(AND(OR(C15="Legal Holiday",C15="Legal Holiday on a Rest Day"),OR(C14="Special Holiday",C14="Working - Legal Holiday on RD",C14="Working - Special Holiday on RD",C14="Normal")),BP14,0)</f>
        <v>0</v>
      </c>
      <c r="CS15" s="93" t="n">
        <f aca="false">IF(AND(OR(C15="Special Holiday",C15="Special Holiday on RD"),OR(C14="Legal Holiday",C14="Working - Legal Holiday on RD",C14="Working - Special Holiday on RD",C14="Normal")),BP14,0)</f>
        <v>0</v>
      </c>
      <c r="CT15" s="93" t="n">
        <f aca="false">IF(AND(C15="Working - Legal Holiday on a RD",OR(C14="Legal Holiday",C14="Special Holiday",C14="Working - Special Holiday on RD",C14="Normal")),BP14,0)</f>
        <v>0</v>
      </c>
      <c r="CU15" s="93" t="n">
        <f aca="false">IF(AND(C15="Working - Special Holiday on RD",OR(C14="Legal Holiday",C14="Special Holiday",C14="Working - Legal Holiday on RD",C14="Normal")),BP14,0)</f>
        <v>0</v>
      </c>
      <c r="CV15" s="93" t="n">
        <f aca="false">IF(OR(C16="Special Holiday",C16="Working - Legal Holiday on RD",C16="Working - Special Holiday on RD",C16="Legal Holiday",C16="Legal Holiday on RD",C16="Special Holiday on RD",),BQ15,0)</f>
        <v>0</v>
      </c>
      <c r="CW15" s="93" t="n">
        <f aca="false">IF(AND(C15="Working - Rest Day",OR(C16="Special Holiday",C16="Working - Legal Holiday on RD",C16="Working - Special Holiday on RD",C16="Legal Holiday",C16="Legal Holiday on RD",C16="Special Holiday on RD",C16="Leave")),BQ15,0)</f>
        <v>0</v>
      </c>
      <c r="CX15" s="93" t="n">
        <f aca="false">IF(AND(C15="Legal Holiday",OR(C16="Special Holiday",C16="Legal Holiday on RD",C16="Special Holiday on RD",C16="Normal",C16="Rest Day",C16="Working - Legal Holiday on RD",C16="Working - Special Holiday on RD",C16="Working - Rest Day",C16="Leave")),BQ15,0)</f>
        <v>0</v>
      </c>
      <c r="CY15" s="93" t="n">
        <f aca="false">IF(AND(C15="Special Holiday",OR(C16="Legal Holiday",C16="Working - Legal Holiday on RD",C16="Working - Special Holiday on RD",C16="Normal",C16="Rest Day",C16="Legal Holiday on RD",C16="Special Holiday on RD",C16="Working - Rest Day",C16="Leave")),BQ15,0)</f>
        <v>0</v>
      </c>
      <c r="CZ15" s="93" t="n">
        <f aca="false">IF(AND(C15="Working - Legal Holiday on RD",OR(C16="Legal Holiday",C16="Special Holiday",C16="Working - Special Holiday on RD",C16="Normal",C16="Rest Day",C16="Special Holiday on RD",C16="Working - Rest Day",C16="Leave")),BQ15,0)</f>
        <v>0</v>
      </c>
      <c r="DA15" s="93" t="n">
        <f aca="false">IF(AND(C15="Working - Special Holiday on RD",OR(C16="Legal Holiday",C16="Special Holiday",C16="Working - Legal Holiday on RD",C16="Normal",C16="Rest Day",C16="Leave",C16="Legal Holiday on RD")),BQ15,0)</f>
        <v>0</v>
      </c>
      <c r="DB15" s="93" t="n">
        <f aca="false">IF(OR(C14="Special Holiday",C14="Working - Legal Holiday on RD",C14="Working - Special Holiday on RD",C14="Legal Holiday"),BQ14,0)</f>
        <v>0</v>
      </c>
      <c r="DC15" s="93" t="n">
        <f aca="false">IF(AND(C15="Working - Rest Day",OR(C14="Special Holiday",C14="Working - Legal Holiday on RD",C14="Working - Special Holiday on RD",C14="Normal",C14="Legal Holiday")),BQ14,0)</f>
        <v>0</v>
      </c>
      <c r="DD15" s="93" t="n">
        <f aca="false">IF(AND(OR(C15="Legal Holiday",C15="Legal Holiday on a Rest Day"),OR(C14="Special Holiday",C14="Working - Legal Holiday on RD",C14="Working - Special Holiday on RD",C14="Normal")),BQ14,0)</f>
        <v>0</v>
      </c>
      <c r="DE15" s="93" t="n">
        <f aca="false">IF(AND(OR(C15="Special Holiday",C15="Special Holiday on RD"),OR(C14="Legal Holiday",C14="Working - Legal Holiday on RD",C14="Working - Special Holiday on RD",C14="Normal")),BQ14,0)</f>
        <v>0</v>
      </c>
      <c r="DF15" s="93" t="n">
        <f aca="false">IF(AND(C15="Working - Legal Holiday on a RD",OR(C14="Legal Holiday",C14="Special Holiday",C14="Working - Special Holiday on RD",C14="Normal")),BQ14,0)</f>
        <v>0</v>
      </c>
      <c r="DG15" s="93" t="n">
        <f aca="false">IF(AND(C15="Working - Special Holiday on RD",OR(C14="Legal Holiday",C14="Special Holiday",C14="Working - Legal Holiday on RD",C14="Normal")),BQ14,0)</f>
        <v>0</v>
      </c>
      <c r="DH15" s="93" t="n">
        <f aca="false">IF(OR(C16="Special Holiday",C16="Working - Legal Holiday on RD",C16="Working - Special Holiday on RD",C16="Legal Holiday",C16="Legal Holiday on RD",C16="Special Holiday on RD",),BO15,0)</f>
        <v>0</v>
      </c>
      <c r="DI15" s="93" t="n">
        <f aca="false">IF(AND(C15="Working - Rest Day",OR(C16="Special Holiday",C16="Working - Legal Holiday on RD",C16="Working - Special Holiday on RD",C16="Legal Holiday",C16="Legal Holiday on RD",C16="Special Holiday on RD",C16="Leave")),BO15,0)</f>
        <v>0</v>
      </c>
      <c r="DJ15" s="93" t="n">
        <f aca="false">IF(AND(C15="Legal Holiday",OR(C16="Special Holiday",C16="Legal Holiday on RD",C16="Special Holiday on RD",C16="Normal",C16="Rest Day",C16="Working - Legal Holiday on RD",C16="Working - Special Holiday on RD",C16="Working - Rest Day",C16="Leave")),BO15,0)</f>
        <v>0</v>
      </c>
      <c r="DK15" s="93" t="n">
        <f aca="false">IF(AND(C15="Special Holiday",OR(C16="Legal Holiday",C16="Working - Legal Holiday on RD",C16="Working - Special Holiday on RD",C16="Normal",C16="Rest Day",C16="Legal Holiday on RD",C16="Special Holiday on RD",C16="Working - Rest Day",C16="Leave")),BO15,0)</f>
        <v>0</v>
      </c>
      <c r="DL15" s="93" t="n">
        <f aca="false">IF(AND(C15="Working - Legal Holiday on RD",OR(C16="Legal Holiday",C16="Special Holiday",C16="Working - Special Holiday on RD",C16="Normal",C16="Rest Day",C16="Special Holiday on RD",C16="Working - Rest Day",C16="Leave")),BO15,0)</f>
        <v>0</v>
      </c>
      <c r="DM15" s="93" t="n">
        <f aca="false">IF(AND(C15="Working - Special Holiday on RD",OR(C16="Legal Holiday",C16="Special Holiday",C16="Working - Legal Holiday on RD",C16="Normal",C16="Rest Day",C16="Leave",C16="Legal Holiday on RD")),BO15,0)</f>
        <v>0</v>
      </c>
      <c r="DN15" s="93" t="n">
        <f aca="false">IF(OR(C14="Special Holiday",C14="Working - Legal Holiday on RD",C14="Working - Special Holiday on RD",C14="Legal Holiday"),BO14,0)</f>
        <v>0</v>
      </c>
      <c r="DO15" s="93" t="n">
        <f aca="false">IF(AND(C15="Working - Rest Day",OR(C14="Special Holiday",C14="Working - Legal Holiday on RD",C14="Working - Special Holiday on RD",C14="Normal",C14="Legal Holiday")),BO14,0)</f>
        <v>0</v>
      </c>
      <c r="DP15" s="93" t="n">
        <f aca="false">IF(AND(OR(C15="Legal Holiday",C15="Legal Holiday on a Rest Day"),OR(C14="Special Holiday",C14="Working - Legal Holiday on RD",C14="Working - Special Holiday on RD",C14="Normal")),BO14,0)</f>
        <v>0</v>
      </c>
      <c r="DQ15" s="93" t="n">
        <f aca="false">IF(AND(OR(C15="Special Holiday",C15="Special Holiday on RD"),OR(C14="Legal Holiday",C14="Working - Legal Holiday on RD",C14="Working - Special Holiday on RD",C14="Normal")),BO14,0)</f>
        <v>0</v>
      </c>
      <c r="DR15" s="93" t="n">
        <f aca="false">IF(AND(C15="Working - Legal Holiday on a RD",OR(C14="Legal Holiday",C14="Special Holiday",C14="Working - Special Holiday on RD",C14="Normal")),BO14,0)</f>
        <v>0</v>
      </c>
      <c r="DS15" s="93" t="n">
        <f aca="false">IF(AND(C15="Working - Special Holiday on RD",OR(C14="Legal Holiday",C14="Special Holiday",C14="Working - Legal Holiday on RD",C14="Normal")),BO14,0)</f>
        <v>0</v>
      </c>
    </row>
    <row r="16" s="6" customFormat="true" ht="14.25" hidden="false" customHeight="true" outlineLevel="0" collapsed="false">
      <c r="A16" s="79" t="n">
        <v>46191</v>
      </c>
      <c r="B16" s="80" t="str">
        <f aca="false">TEXT(WEEKDAY(A16),"ddd")</f>
        <v>Thu</v>
      </c>
      <c r="C16" s="81" t="s">
        <v>4</v>
      </c>
      <c r="D16" s="82" t="n">
        <v>0.354166666666667</v>
      </c>
      <c r="E16" s="79" t="n">
        <v>46191</v>
      </c>
      <c r="F16" s="82" t="n">
        <v>0.8125</v>
      </c>
      <c r="G16" s="82" t="n">
        <v>0.354166666666667</v>
      </c>
      <c r="H16" s="82" t="n">
        <v>0.8125</v>
      </c>
      <c r="I16" s="83" t="n">
        <f aca="false">IFERROR(IF(N16="Strict",IF(C16="Normal",IFERROR(IF((HOUR(IF(AQ16&lt;=AR16,BB16-AR16,BB16-AQ16))+MINUTE(IF(AQ16&lt;=AR16,BB16-AR16,BB16-AQ16))/60)&gt;=6,HOUR(IF(AQ16&lt;=AR16,BB16-AR16,BB16-AQ16))+MINUTE(IF(AQ16&lt;=AR16,BB16-AR16,BB16-AQ16))/60-1,HOUR(IF(AQ16&lt;=AR16,BB16-AR16,BB16-AQ16))+MINUTE(IF(AQ16&lt;=AR16,BB16-AR16,BB16-AQ16))/60),0),0),IF(N16="Flexi",IF(C16="Normal",IF((HOUR(BB16-AR16)+MINUTE(BB16-AR16)/60)&gt;=6,(HOUR(BB16-AR16)+MINUTE(BB16-AR16)/60)-1,(HOUR(BB16-AR16)+MINUTE(BB16-AR16)/60)),0),0)),0)</f>
        <v>0</v>
      </c>
      <c r="J16" s="82"/>
      <c r="K16" s="79"/>
      <c r="L16" s="84"/>
      <c r="M16" s="79"/>
      <c r="N16" s="79" t="s">
        <v>2</v>
      </c>
      <c r="O16" s="85"/>
      <c r="P16" s="85"/>
      <c r="Q16" s="86" t="s">
        <v>110</v>
      </c>
      <c r="R16" s="87" t="n">
        <f aca="false">IF(AND(C16="Normal",I16&gt;0),(8-S16),0)-IF(AND(C16="Normal",OR(C17="Special Holiday",C17="Working - Legal Holiday on RD",C17="Working - Special Holiday on RD",C17="Legal Holiday",C17="Legal Holiday on RD",C17="Special Holiday on RD")),BN16,0)+IF(AND(OR(C16="Normal",C16="Leave",C16="Rest Day"),OR(C15="Special Holiday",C15="Working - Legal Holiday on RD",C15="Working - Special Holiday on RD",C15="Legal Holiday")),BN15,0)</f>
        <v>0</v>
      </c>
      <c r="S16" s="87" t="n">
        <f aca="false">IF(C16="Normal",IF(P16="Remain Lates",(IFERROR(IF(N16="Strict",IF(C16="Normal",IF(AQ16&lt;=AR16,HOUR(AR16-AQ16)+(MINUTE(AR16-AQ16)/60),0)+IF(BB16&lt;=BC16,HOUR(BC16-BB16)+(MINUTE(BC16-BB16)/60),0),0),IF(I16=0,0,(8-I16))),0)-(O16/60)),IF((O16/60)&gt;=IFERROR(IF(N16="Strict",IF(C16="Normal",IF(AQ16&lt;=AR16,HOUR(AR16-AQ16)+(MINUTE(AR16-AQ16)/60),0)+IF(BB16&lt;=BC16,HOUR(BC16-BB16)+(MINUTE(BC16-BB16)/60),0),0),IF(I16=0,0,(8-I16))),0),0,IFERROR(IF(N16="Strict",IF(C16="Normal",IF(AQ16&lt;=AR16,HOUR(AR16-AQ16)+(MINUTE(AR16-AQ16)/60),0)+IF(BB16&lt;=BC16,HOUR(BC16-BB16)+(MINUTE(BC16-BB16)/60),0),0),IF(I16=0,0,(8-I16))),0))),0)</f>
        <v>0</v>
      </c>
      <c r="T16" s="88" t="n">
        <f aca="false">IF(AND(C16="Working - Rest Day",BW16&gt;0),(8-IF(BV16&gt;6,BV16-1,BV16)),0)-IF(AND(C16="Working - Rest Day",OR(C17="Special Holiday",C17="Working - Legal Holiday on RD",C17="Working - Special Holiday on RD",C17="Legal Holiday",C17="Legal Holiday on RD",C17="Special Holiday on RD")),BN16,0)+IF(AND(C16="Working - Rest Day",OR(C15="Special Holiday",C15="Working - Legal Holiday on RD",C15="Working - Special Holiday on RD",C15="Legal Holiday")),BN15,0)</f>
        <v>0</v>
      </c>
      <c r="U16" s="88" t="n">
        <f aca="false">IF(AND(C16="Legal Holiday",BW16&gt;0),(8-IF(BV16&gt;6,BV16-1,BV16)),0)-IF(AND(C16="Legal Holiday",OR(C17="Special Holiday",C17="Legal Holiday on RD",C17="Special Holiday on RD",C17="Normal",C17="Rest Day",C17="Working - Legal Holiday on RD",C17="Working - Special Holiday on RD",C17="Working - Rest Day",C17="Leave")),BN16,0)+IF(AND(OR(C16="Legal Holiday",C16="Legal Holiday on RD"),OR(C15="Special Holiday",C15="Working - Legal Holiday on RD",C15="Working - Special Holiday on RD",C15="Normal",C15="Working - Rest Day")),BN15,0)</f>
        <v>0</v>
      </c>
      <c r="V16" s="88" t="n">
        <f aca="false">IF(AND(C16="Special Holiday",BW16&gt;0),(8-IF(BV16&gt;6,BV16-1,BV16)),0)-IF(AND(C16="Special Holiday",OR(C17="Legal Holiday",C17="Working - Legal Holiday on RD",C17="Working - Special Holiday on RD",C17="Normal",C17="Rest Day",C17="Legal Holiday on RD",C17="Special Holiday on RD",C17="Working - Rest Day",C17="Leave")),BN16,0)+IF(AND(OR(C16="Special Holiday",C16="Special Holiday on RD"),OR(C15="Legal Holiday",C15="Working - Legal Holiday on RD",C15="Working - Special Holiday on RD",C15="Working - Rest Day",C15="Normal")),BN15,0)</f>
        <v>0</v>
      </c>
      <c r="W16" s="88" t="n">
        <f aca="false">IF(AND(C16="Working - Legal Holiday on RD",BW16&gt;0),(8-IF(BV16&gt;6,BV16-1,BV16)),0)-IF(AND(C16="Working - Legal Holiday on RD",OR(C17="Legal Holiday",C17="Special Holiday",C17="Working - Special Holiday on RD",C17="Normal",C17="Rest Day",C17="Special Holiday on RD",C17="Working - Rest Day",C17="Leave")),BN16,0)+IF(AND(C16="Working - Legal Holiday on RD",OR(C15="Legal Holiday",C15="Special Holiday",C15="Working - Special Holiday on RD",C15="Working - Rest Day",C15="Normal")),BN15,0)</f>
        <v>0</v>
      </c>
      <c r="X16" s="88" t="n">
        <f aca="false">IF(AND(C16="Working - Special Holiday on RD",BW16&gt;0),(8-IF(BV16&gt;6,BV16-1,BV16)),0)-IF(AND(C16="Working - Special Holiday on RD",OR(C17="Legal Holiday",C17="Special Holiday",C17="Working - Legal Holiday on RD",C17="Normal",C17="Rest Day",C17="Leave",C17="Working - Rest Day",C17="Legal Holiday on RD")),BN16,0)+IF(AND(C16="Working - Special Holiday on RD",OR(C15="Legal Holiday",C15="Special Holiday",C15="Working - Legal Holiday on RD",C15="Normal",C15="Working - Rest Day")),BN15,0)</f>
        <v>0</v>
      </c>
      <c r="Y16" s="88" t="n">
        <f aca="false">IFERROR(IF(C16="Normal",HOUR(AY16-AV16)+MINUTE(AY16-AV16)/60,0),0)-IFERROR(IF(C16="Normal",HOUR(BA16-AX16)+MINUTE(BA16-AX16)/60,0),0)-IF(AND(C16="Normal",OR(C17="Special Holiday",C17="Working - Legal Holiday on RD",C17="Working - Special Holiday on RD",C17="Legal Holiday",C17="Legal Holiday on RD",C17="Special Holiday on RD")),BP16,0)+IF(AND(OR(C16="Normal",C16="Rest Day",C16="Leave"),OR(C15="Special Holiday",C15="Working - Legal Holiday on RD",C15="Working - Special Holiday on RD",C15="Legal Holiday")),BP15,0)</f>
        <v>0</v>
      </c>
      <c r="Z16" s="88" t="n">
        <f aca="false">IFERROR(IF(C16="Working - Rest Day",HOUR(AY16-AV16)+MINUTE(AY16-AV16)/60,0),0)-IFERROR(IF(C16="Working - Rest Day",HOUR(BA16-AX16)+MINUTE(BA16-AX16)/60,0),0)-IF(AND(C16="Working - Rest Day",OR(C17="Special Holiday",C17="Working - Legal Holiday on RD",C17="Working - Special Holiday on RD",C17="Legal Holiday",C17="Legal Holiday on RD",C17="Special Holiday on RD")),BP16,0)+IF(AND(C16="Working - Rest Day",OR(C15="Special Holiday",C15="Working - Legal Holiday on RD",C15="Working - Special Holiday on RD",C15="Legal Holiday")),BP15,0)</f>
        <v>0</v>
      </c>
      <c r="AA16" s="88" t="n">
        <f aca="false">IFERROR(IF(C16="Legal Holiday",HOUR(AY16-AV16)+MINUTE(AY16-AV16)/60,0),0)-IFERROR(IF(C16="Legal Holiday",HOUR(BA16-AX16)+MINUTE(BA16-AX16)/60,0),0)-IF(AND(C16="Legal Holiday",OR(C17="Special Holiday",C17="Legal Holiday on RD",C17="Special Holiday on RD",C17="Normal",C17="Rest Day",C17="Working - Legal Holiday on RD",C17="Working - Special Holiday on RD",C17="Working - Rest Day",C17="Leave")),BP16,0)+IF(AND(OR(C16="Legal Holiday",C16="Legal Holiday on RD"),OR(C15="Special Holiday",C15="Working - Legal Holiday on RD",C15="Working - Special Holiday on RD",C15="Normal",C15="Working - Rest Day")),BP15,0)</f>
        <v>0</v>
      </c>
      <c r="AB16" s="88" t="n">
        <f aca="false">IFERROR(IF(C16="Special Holiday",HOUR(AY16-AV16)+MINUTE(AY16-AV16)/60,0),0)-IFERROR(IF(C16="Special Holiday",HOUR(BA16-AX16)+MINUTE(BA16-AX16)/60,0),0)-IF(AND(C16="Special Holiday",OR(C17="Legal Holiday",C17="Working - Legal Holiday on RD",C17="Working - Special Holiday on RD",C17="Normal",C17="Rest Day",C17="Legal Holiday on RD",C17="Special Holiday on RD",C17="Working - Rest Day",C17="Leave")),BP16,0)+IF(AND(OR(C16="Special Holiday",C16="Special Holiday on RD"),OR(C15="Legal Holiday",C15="Working - Legal Holiday on RD",C15="Working - Special Holiday on RD",C15="Normal",C15="Working - Rest Day")),BP15,0)</f>
        <v>0</v>
      </c>
      <c r="AC16" s="88" t="n">
        <f aca="false">IFERROR(IF(C16="Working - Legal Holiday on RD",HOUR(AY16-AV16)+MINUTE(AY16-AV16)/60,0),0)-IFERROR(IF(C16="Working - Legal Holiday on RD",HOUR(BA16-AX16)+MINUTE(BA16-AX16)/60,0),0)-IF(AND(C16="Working - Legal Holiday on RD",OR(C17="Legal Holiday",C17="Special Holiday",C17="Working - Special Holiday on RD",C17="Normal",C17="Rest Day",C17="Special Holiday on RD",C17="Working - Rest Day",C17="Leave")),BP16,0)+IF(AND(C16="Working - Legal Holiday on RD",OR(C15="Legal Holiday",C15="Special Holiday",C15="Working - Special Holiday on RD",C15="Normal",C15="Working - Rest Day")),BP15,0)</f>
        <v>0</v>
      </c>
      <c r="AD16" s="88" t="n">
        <f aca="false">IFERROR(IF(C16="Working - Special Holiday on RD",HOUR(AY16-AV16)+MINUTE(AY16-AV16)/60,0),0)-IFERROR(IF(C16="Working - Special Holiday on RD",HOUR(BA16-AX16)+MINUTE(BA16-AX16)/60,0),0)-IF(AND(C16="Working - Special Holiday on RD",OR(C17="Legal Holiday",C17="Special Holiday",C17="Working - Legal Holiday on RD",C17="Normal",C17="Rest Day",C17="Working - Rest Day",C17="Leave",C17="Legal Holiday on RD")),BP16,0)+IF(AND(C16="Working - Special Holiday on RD",OR(C15="Legal Holiday",C15="Special Holiday",C15="Working - Legal Holiday on RD",C15="Normal",C15="Working - Rest Day")),BP15,0)</f>
        <v>0</v>
      </c>
      <c r="AE16" s="88" t="n">
        <f aca="false">IFERROR(IF(C16="Normal",HOUR(BA16-AX16)+MINUTE(BA16-AX16)/60,0),0)-IF(AND(C16="Normal",OR(C17="Special Holiday",C17="Working - Legal Holiday on RD",C17="Working - Special Holiday on RD",C17="Legal Holiday",C17="Legal Holiday on RD",C17="Special Holiday on RD")),BQ16,0)+IF(AND(OR(C16="Normal",C16="Rest Day",C16="Leave"),OR(C15="Special Holiday",C15="Working - Legal Holiday on RD",C15="Working - Special Holiday on RD",C15="Legal Holiday")),BQ15,0)</f>
        <v>0</v>
      </c>
      <c r="AF16" s="88" t="n">
        <f aca="false">IFERROR(IF(C16="Working - Rest Day",HOUR(BA16-AX16)+MINUTE(BA16-AX16)/60,0),0)-IF(AND(C16="Working - Rest Day",OR(C17="Special Holiday",C17="Working - Legal Holiday on RD",C17="Working - Special Holiday on RD",C17="Legal Holiday",C17="Legal Holiday on RD",C17="Special Holiday on RD")),BQ16,0)+IF(AND(C16="Working - Rest Day",OR(C15="Special Holiday",C15="Working - Legal Holiday on RD",C15="Working - Special Holiday on RD",C15="Legal Holiday")),BQ15,0)</f>
        <v>0</v>
      </c>
      <c r="AG16" s="88" t="n">
        <f aca="false">IFERROR(IF(C16="Legal Holiday",HOUR(BA16-AX16)+MINUTE(BA16-AX16)/60,0),0)-IF(AND(C16="Legal Holiday",OR(C17="Special Holiday",C17="Legal Holiday on RD",C17="Special Holiday on RD",C17="Normal",C17="Rest Day",C17="Working - Legal Holiday on RD",C17="Working - Special Holiday on RD",C17="Working - Rest Day",C17="Leave")),BQ16,0)+IF(AND(OR(C16="Legal Holiday",C16="Legal Holiday on RD"),OR(C15="Special Holiday",C15="Working - Legal Holiday on RD",C15="Working - Special Holiday on RD",C15="Normal",C15="Working - Rest Day")),BQ15,0)</f>
        <v>0</v>
      </c>
      <c r="AH16" s="88" t="n">
        <f aca="false">IFERROR(IF(C16="Special Holiday",HOUR(BA16-AX16)+MINUTE(BA16-AX16)/60,0),0)-IF(AND(C16="Special Holiday",OR(C17="Legal Holiday",C17="Working - Legal Holiday on RD",C17="Working - Special Holiday on RD",C17="Normal",C17="Rest Day",C17="Legal Holiday on RD",C17="Special Holiday on RD",C17="Working - Rest Day",C17="Leave")),BQ16,0)+IF(AND(OR(C16="Special Holiday",C16="Special Holiday on RD"),OR(C15="Legal Holiday",C15="Working - Legal Holiday on RD",C15="Working - Special Holiday on RD",C15="Normal",C15="Working - Rest Day")),BQ15,0)</f>
        <v>0</v>
      </c>
      <c r="AI16" s="88" t="n">
        <f aca="false">IFERROR(IF(C16="Working - Legal Holiday on RD",HOUR(BA16-AX16)+MINUTE(BA16-AX16)/60,0),0)-IF(AND(C16="Working - Legal Holiday on RD",OR(C17="Legal Holiday",C17="Special Holiday",C17="Working - Special Holiday on RD",C17="Normal",C17="Rest Day",C17="Special Holiday on RD",C17="Working - Rest Day",C17="Leave")),BQ16,0)+IF(AND(C16="Working - Legal Holiday on RD",OR(C15="Legal Holiday",C15="Special Holiday",C15="Working - Special Holiday on RD",C15="Normal",C15="Working - Rest Day")),BQ15,0)</f>
        <v>0</v>
      </c>
      <c r="AJ16" s="88" t="n">
        <f aca="false">IFERROR(IF(C16="Working - Special Holiday on RD",HOUR(BA16-AX16)+MINUTE(BA16-AX16)/60,0),0)-IF(AND(C16="Working - Special Holiday on RD",OR(C17="Legal Holiday",C17="Special Holiday",C17="Working - Legal Holiday on RD",C17="Normal",C17="Rest Day",C17="Working - Rest Day",C17="Leave",C17="Legal Holiday on RD")),BQ16,0)+IF(AND(C16="Working - Special Holiday on RD",OR(C15="Legal Holiday",C15="Special Holiday",C15="Working - Legal Holiday on RD",C15="Normal",C15="Working - Rest Day")),BQ15,0)</f>
        <v>0</v>
      </c>
      <c r="AK16" s="88" t="n">
        <f aca="false">IFERROR(IF(C16="Normal",HOUR(BF16-AU16)+(MINUTE(BF16-AU16)/60),0),0)-IF(AND(C16="Normal",OR(C17="Special Holiday",C17="Working - Legal Holiday on RD",C17="Working - Special Holiday on RD",C17="Legal Holiday",C17="Legal Holiday on RD",C17="Special Holiday on RD")),BO16,0)+IF(AND(OR(C16="Normal",C16="Rest Day",C16="Leave"),OR(C15="Special Holiday",C15="Working - Legal Holiday on RD",C15="Working - Special Holiday on RD",C15="Legal Holiday")),BO15,0)</f>
        <v>0</v>
      </c>
      <c r="AL16" s="88" t="n">
        <f aca="false">IFERROR(IF(C16="Working - Rest Day",HOUR(BF16-AU16)+(MINUTE(BF16-AU16)/60),0),0)-IF(AND(C16="Working - Rest Day",OR(C17="Special Holiday",C17="Working - Legal Holiday on RD",C17="Working - Special Holiday on RD",C17="Legal Holiday",C17="Legal Holiday on RD",C17="Special Holiday on RD")),BO16,0)+IF(AND(C16="Working - Rest Day",OR(C15="Special Holiday",C15="Working - Legal Holiday on RD",C15="Working - Special Holiday on RD",C15="Legal Holiday")),BO15,0)</f>
        <v>0</v>
      </c>
      <c r="AM16" s="88" t="n">
        <f aca="false">IFERROR(IF(C16="Legal Holiday",HOUR(BF16-AU16)+(MINUTE(BF16-AU16)/60),0),0)-IF(AND(C16="Legal Holiday",OR(C17="Special Holiday",C17="Legal Holiday on RD",C17="Special Holiday on RD",C17="Normal",C17="Rest Day",C17="Working - Legal Holiday on RD",C17="Working - Special Holiday on RD",C17="Working - Rest Day",C17="Leave")),BO16,0)+IF(AND(OR(C16="Legal Holiday",C16="Legal Holiday on RD"),OR(C15="Special Holiday",C15="Working - Legal Holiday on RD",C15="Working - Special Holiday on RD",C15="Normal",C15="Working - Rest Day")),BO15,0)</f>
        <v>0</v>
      </c>
      <c r="AN16" s="88" t="n">
        <f aca="false">IFERROR(IF(C16="Special Holiday",HOUR(BF16-AU16)+(MINUTE(BF16-AU16)/60),0),0)-IF(AND(C16="Special Holiday",OR(C17="Legal Holiday",C17="Working - Legal Holiday on RD",C17="Working - Special Holiday on RD",C17="Normal",C17="Rest Day",C17="Legal Holiday on RD",C17="Special Holiday on RD",C17="Working - Rest Day",C17="Leave")),BO16,0)+IF(AND(OR(C16="Special Holiday",C16="Special Holiday on RD"),OR(C15="Legal Holiday",C15="Working - Legal Holiday on RD",C15="Working - Special Holiday on RD",C15="Normal",C15="Working - Rest Day")),BO15,0)</f>
        <v>0</v>
      </c>
      <c r="AO16" s="88" t="n">
        <f aca="false">IFERROR(IF(C16="Working - Legal Holiday on RD",HOUR(BF16-AU16)+(MINUTE(BF16-AU16)/60),0),0)-IF(AND(C16="Working - Legal Holiday on RD",OR(C17="Legal Holiday",C17="Special Holiday",C17="Working - Special Holiday on RD",C17="Normal",C17="Rest Day",C17="Special Holiday on RD",C17="Working - Rest Day",C17="Leave")),BO16,0)+IF(AND(C16="Working - Legal Holiday on RD",OR(C15="Legal Holiday",C15="Special Holiday",C15="Working - Special Holiday on RD",C15="Normal",C15="Working - Rest Day")),BO15,0)</f>
        <v>0</v>
      </c>
      <c r="AP16" s="88" t="n">
        <f aca="false">IFERROR(IF(C16="Working - Special Holiday on RD",HOUR(BF16-AU16)+(MINUTE(BF16-AU16)/60),0),0)-IF(AND(C16="Working - Special Holiday on RD",OR(C17="Legal Holiday",C17="Special Holiday",C17="Working - Legal Holiday on RD",C17="Normal",C17="Rest Day",C17="Working - Rest Day",C17="Leave",C17="Legal Holiday on RD")),BO16,0)+IF(AND(C16="Working - Special Holiday on RD",OR(C15="Legal Holiday",C15="Special Holiday",C15="Working - Legal Holiday on RD",C15="Normal",C15="Working - Rest Day")),BO15,0)</f>
        <v>0</v>
      </c>
      <c r="AQ16" s="89" t="str">
        <f aca="false">TEXT(D16,"HH:MM")&amp;" "&amp;TEXT(A16,"DD-mmm-YY")</f>
        <v>08:30 18-Jun-26</v>
      </c>
      <c r="AR16" s="89" t="str">
        <f aca="false">TEXT(G16,"HH:MM")&amp;" "&amp;TEXT(A16,"DD-mmm-YY")</f>
        <v>08:30 18-Jun-26</v>
      </c>
      <c r="AS16" s="60" t="str">
        <f aca="false">IF($AR$1&lt;D16,AR16,IF(AT16&lt;=AR16,AR16,AT16))</f>
        <v>22:00 18-Jun-26</v>
      </c>
      <c r="AT16" s="60" t="str">
        <f aca="false">IF(AND(D16&gt;=0,D16&lt;0.25),TEXT($AR$1,"HH:MM")&amp;" "&amp;TEXT((A16-1),"dd-mmm-yy"),TEXT($AR$1,"HH:MM")&amp;" "&amp;TEXT(A16,"dd-mmm-yy"))</f>
        <v>22:00 18-Jun-26</v>
      </c>
      <c r="AU16" s="40" t="e">
        <f aca="false" t="array" ref="AU16:AU16">MAX(AQ16:AS16+0)</f>
        <v>#VALUE!</v>
      </c>
      <c r="AV16" s="60" t="str">
        <f aca="false">TEXT(J16,"HH:MM")&amp;" "&amp;TEXT(K16,"DD-mmm-YY")</f>
        <v>00:00 00-Jan-00</v>
      </c>
      <c r="AW16" s="60" t="str">
        <f aca="false">IF(K16&lt;A16,TEXT($AR$1,"HH:MM")&amp;" "&amp;TEXT((A16-1),"dd-mmm-yy"),IF(AND(D16&gt;0,D16&lt;0.25,L16&lt;0.916666666666667,A16&lt;M16),TEXT($AR$1,"HH:MM")&amp;" "&amp;TEXT((A16-1),"dd-mmm-yy"),TEXT($AR$1,"HH:MM")&amp;" "&amp;TEXT(A16,"dd-mmm-yy")))</f>
        <v>22:00 17-Jun-26</v>
      </c>
      <c r="AX16" s="40" t="e">
        <f aca="false" t="array" ref="AX16:AX16">MAX(AV16:AW16+0)</f>
        <v>#VALUE!</v>
      </c>
      <c r="AY16" s="60" t="str">
        <f aca="false">TEXT(L16,"HH:MM")&amp;" "&amp;TEXT(M16,"DD-mmm-YY")</f>
        <v>00:00 00-Jan-00</v>
      </c>
      <c r="AZ16" s="60" t="str">
        <f aca="false">IF(AND(D16&gt;=0,D16&lt;0.25,L16&lt;0.916666666666667,A16&gt;M16),TEXT($AR$2,"HH:MM")&amp;" "&amp;TEXT(A16,"DD-mmm-YY"),TEXT($AR$2,"HH:MM")&amp;" "&amp;TEXT((A16+1),"DD-mmm-YY"))</f>
        <v>06:00 19-Jun-26</v>
      </c>
      <c r="BA16" s="40" t="e">
        <f aca="false" t="array" ref="BA16:BA16">MIN(AY16:AZ16+0)</f>
        <v>#VALUE!</v>
      </c>
      <c r="BB16" s="60" t="str">
        <f aca="false">IF(G16&gt;H16,TEXT(H16,"HH:MM")&amp;" "&amp;TEXT(E16,"DD-mmm-YY"),IF(H16&gt;1,TEXT(H16,"HH:MM")&amp;" "&amp;TEXT(E16,"DD-mmm-YY"),TEXT(H16,"HH:MM")&amp;" "&amp;TEXT(A16,"DD-mmm-YY")))</f>
        <v>19:30 18-Jun-26</v>
      </c>
      <c r="BC16" s="60" t="str">
        <f aca="false">IF(N16="Flexi",TEXT(G16+$BC$1,"HH:MM")&amp;" "&amp;TEXT(E16,"DD-mmm-YY"),TEXT(F16,"HH:MM")&amp;" "&amp;TEXT(E16,"DD-mmm-YY"))</f>
        <v>19:30 18-Jun-26</v>
      </c>
      <c r="BD16" s="90" t="e">
        <f aca="false" t="array" ref="BD16:BD16">MIN(BB16:BC16+0)</f>
        <v>#VALUE!</v>
      </c>
      <c r="BE16" s="60" t="str">
        <f aca="false">IF(D16&gt;0.25,TEXT($AR$2,"HH:MM")&amp;" "&amp;TEXT(IF(BG16&lt;H16,A16+1,E16),"DD-mmm-YY"),IF(D16&gt;=0,TEXT($AR$2,"HH:MM")&amp;" "&amp;TEXT(IF(BG16&lt;H16,A16+1,E16)-1,"DD-mmm-YY"),TEXT($AR$2,"HH:MM")&amp;" "&amp;TEXT(IF(BG16&lt;H16,A16+1,E16),"DD-mmm-YY")))</f>
        <v>06:00 19-Jun-26</v>
      </c>
      <c r="BF16" s="40" t="e">
        <f aca="false" t="array" ref="BF16:BF16">IF(N16="Flexi",IF(AND(BB16&gt;BC16,BB16&lt;BE16),BB16,MIN(BB16:BE16+0)),MIN(BB16:BE16+0))</f>
        <v>#VALUE!</v>
      </c>
      <c r="BG16" s="7" t="n">
        <v>0</v>
      </c>
      <c r="BH16" s="9" t="str">
        <f aca="false">TEXT(BG16,"HH:MM")&amp;" "&amp;TEXT(A16+1,"DD-mmm-YY")</f>
        <v>00:00 19-Jun-26</v>
      </c>
      <c r="BI16" s="9" t="str">
        <f aca="false">AV16</f>
        <v>00:00 00-Jan-00</v>
      </c>
      <c r="BJ16" s="91" t="e">
        <f aca="false" t="array" ref="BJ16:BJ16">MAX(BH16:BI16+0)</f>
        <v>#VALUE!</v>
      </c>
      <c r="BK16" s="9" t="str">
        <f aca="false">TEXT($AR$2,"HH:MM")&amp;" "&amp;TEXT(A16+1,"DD-mmm-YY")</f>
        <v>06:00 19-Jun-26</v>
      </c>
      <c r="BL16" s="9" t="str">
        <f aca="false">AY16</f>
        <v>00:00 00-Jan-00</v>
      </c>
      <c r="BM16" s="91" t="e">
        <f aca="false" t="array" ref="BM16:BM16">MIN(BK16:BL16+0)</f>
        <v>#VALUE!</v>
      </c>
      <c r="BN16" s="13" t="n">
        <f aca="false">IF(IFERROR(IF(E16&gt;A16,IF(BD16&gt;=BD16,HOUR(BD16-BH16)+MINUTE(BD16-BH16)/60,0),0),0)&gt;5,(IFERROR(IF(E16&gt;A16,IF(BD16&gt;=BD16,HOUR(BD16-BH16)+MINUTE(BD16-BH16)/60,0),0),0)-1),IFERROR(IF(E16&gt;A16,IF(BD16&gt;=BD16,HOUR(BD16-BH16)+MINUTE(BD16-BH16)/60,0),0),0))</f>
        <v>0</v>
      </c>
      <c r="BO16" s="13" t="n">
        <f aca="false">IFERROR(IF(E16&gt;A16,HOUR(BF16-BH16)+MINUTE(BF16-BH16)/60,0),0)</f>
        <v>0</v>
      </c>
      <c r="BP16" s="92" t="n">
        <f aca="false">IF(AND(A16&lt;M16,L16&gt;0.25,L16&lt;=0.916666666666667,J16&gt;=0.25),IFERROR(HOUR(AY16-AV16)+MINUTE(AY16-AV16)/60,0),IFERROR(HOUR(AY16-BK16)+MINUTE(AY16-BK16)/60,0))</f>
        <v>0</v>
      </c>
      <c r="BQ16" s="13" t="n">
        <f aca="false">IFERROR(HOUR(BM16-BJ16)+MINUTE(BM16-BJ16)/60,0)</f>
        <v>0</v>
      </c>
      <c r="BR16" s="13" t="n">
        <f aca="false">IF(AND(C16=C16,BW16&gt;0),(8-BV16),0)-BN16</f>
        <v>0</v>
      </c>
      <c r="BS16" s="13" t="n">
        <f aca="false">IFERROR(IF(C16=C16,HOUR(BF16-AU16)+(MINUTE(BF16-AU16)/60),0),0)-BO16</f>
        <v>0</v>
      </c>
      <c r="BT16" s="92" t="n">
        <f aca="false">IFERROR(IF(C16=C16,HOUR(AY16-AV16)+MINUTE(AY16-AV16)/60,0),0)-IFERROR(IF(C16=C16,HOUR(BA16-AX16)+MINUTE(BA16-AX16)/60,0),0)-BP16</f>
        <v>0</v>
      </c>
      <c r="BU16" s="13" t="n">
        <f aca="false">IFERROR(IF(C16=C16,HOUR(BA16-AX16)+MINUTE(BA16-AX16)/60,0),0)-BQ16</f>
        <v>0</v>
      </c>
      <c r="BV16" s="13" t="n">
        <f aca="false">IF(C16=C16,IF(P16="Remain Lates",(IFERROR(IF(N16="Strict",IF(C16=C16,IF(AQ16&lt;=AR16,HOUR(AR16-AQ16)+(MINUTE(AR16-AQ16)/60),0)+IF(BB16&lt;=BC16,HOUR(BC16-BB16)+(MINUTE(BC16-BB16)/60),0),0),IF(BW16=0,0,(8-BW16))),0)-(O16/60)),IF((O16/60)&gt;=IFERROR(IF(N16="Strict",IF(C16=C16,IF(AQ16&lt;=AR16,HOUR(AR16-AQ16)+(MINUTE(AR16-AQ16)/60),0)+IF(BB16&lt;=BC16,HOUR(BC16-BB16)+(MINUTE(BC16-BB16)/60),0),0),IF(BW16=0,0,(8-BW16))),0),0,IFERROR(IF(N16="Strict",IF(C16=C16,IF(AQ16&lt;=AR16,HOUR(AR16-AQ16)+(MINUTE(AR16-AQ16)/60),0)+IF(BB16&lt;=BC16,HOUR(BC16-BB16)+(MINUTE(BC16-BB16)/60),0),0),IF(BW16=0,0,(8-BW16))),0))),0)</f>
        <v>0</v>
      </c>
      <c r="BW16" s="13" t="n">
        <f aca="false">IFERROR(IF(N16="Strict",IF(C16=C16,IFERROR(IF((HOUR(IF(AQ16&lt;=AR16,BB16-AR16,BB16-AQ16))+MINUTE(IF(AQ16&lt;=AR16,BB16-AR16,BB16-AQ16))/60)&gt;=6,HOUR(IF(AQ16&lt;=AR16,BB16-AR16,BB16-AQ16))+MINUTE(IF(AQ16&lt;=AR16,BB16-AR16,BB16-AQ16))/60-1,HOUR(IF(AQ16&lt;=AR16,BB16-AR16,BB16-AQ16))+MINUTE(IF(AQ16&lt;=AR16,BB16-AR16,BB16-AQ16))/60),0),0),IF(N16="Flexi",IF(C16=C16,IF((HOUR(BB16-AR16)+MINUTE(BB16-AR16)/60)&gt;=6,(HOUR(BB16-AR16)+MINUTE(BB16-AR16)/60)-1,(HOUR(BB16-AR16)+MINUTE(BB16-AR16)/60)),0),0)),0)</f>
        <v>0</v>
      </c>
      <c r="BX16" s="93" t="n">
        <f aca="false">IF(OR(C17="Special Holiday",C17="Working - Legal Holiday on RD",C17="Working - Special Holiday on RD",C17="Legal Holiday",C17="Legal Holiday on RD",C17="Special Holiday on RD",),BN16,0)</f>
        <v>0</v>
      </c>
      <c r="BY16" s="93" t="n">
        <f aca="false">IF(AND(C16="Working - Rest Day",OR(C17="Special Holiday",C17="Working - Legal Holiday on RD",C17="Working - Special Holiday on RD",C17="Legal Holiday",C17="Legal Holiday on RD",C17="Special Holiday on RD",C17="Leave")),BN16,0)</f>
        <v>0</v>
      </c>
      <c r="BZ16" s="93" t="n">
        <f aca="false">IF(AND(C16="Legal Holiday",OR(C17="Special Holiday",C17="Legal Holiday on RD",C17="Special Holiday on RD",C17="Normal",C17="Rest Day",C17="Working - Legal Holiday on RD",C17="Working - Special Holiday on RD",C17="Working - Rest Day",C17="Leave")),BN16,0)</f>
        <v>0</v>
      </c>
      <c r="CA16" s="93" t="n">
        <f aca="false">IF(AND(C16="Special Holiday",OR(C17="Legal Holiday",C17="Working - Legal Holiday on RD",C17="Working - Special Holiday on RD",C17="Normal",C17="Rest Day",C17="Legal Holiday on RD",C17="Special Holiday on RD",C17="Working - Rest Day",C17="Leave")),BN16,0)</f>
        <v>0</v>
      </c>
      <c r="CB16" s="93" t="n">
        <f aca="false">IF(AND(C16="Working - Legal Holiday on RD",OR(C17="Legal Holiday",C17="Special Holiday",C17="Working - Special Holiday on RD",C17="Normal",C17="Rest Day",C17="Special Holiday on RD",C17="Working - Rest Day",C17="Leave")),BN16,0)</f>
        <v>0</v>
      </c>
      <c r="CC16" s="93" t="n">
        <f aca="false">IF(AND(C16="Working - Special Holiday on RD",OR(C17="Legal Holiday",C17="Special Holiday",C17="Working - Legal Holiday on RD",C17="Normal",C17="Rest Day",C17="Leave",C17="Legal Holiday on RD")),BN16,0)</f>
        <v>0</v>
      </c>
      <c r="CD16" s="93" t="n">
        <f aca="false">IF(OR(C15="Special Holiday",C15="Working - Legal Holiday on RD",C15="Working - Special Holiday on RD",C15="Legal Holiday"),BN15,0)</f>
        <v>0</v>
      </c>
      <c r="CE16" s="93" t="n">
        <f aca="false">IF(AND(C16="Working - Rest Day",OR(C15="Special Holiday",C15="Working - Legal Holiday on RD",C15="Working - Special Holiday on RD",C15="Normal",C15="Legal Holiday")),BN15,0)</f>
        <v>0</v>
      </c>
      <c r="CF16" s="93" t="n">
        <f aca="false">IF(AND(OR(C16="Legal Holiday",C16="Legal Holiday on a Rest Day"),OR(C15="Special Holiday",C15="Working - Legal Holiday on RD",C15="Working - Special Holiday on RD",C15="Normal")),BN15,0)</f>
        <v>0</v>
      </c>
      <c r="CG16" s="93" t="n">
        <f aca="false">IF(AND(OR(C16="Special Holiday",C16="Special Holiday on RD"),OR(C15="Legal Holiday",C15="Working - Legal Holiday on RD",C15="Working - Special Holiday on RD",C15="Normal")),BN15,0)</f>
        <v>0</v>
      </c>
      <c r="CH16" s="93" t="n">
        <f aca="false">IF(AND(C16="Working - Legal Holiday on a RD",OR(C15="Legal Holiday",C15="Special Holiday",C15="Working - Special Holiday on RD",C15="Normal")),BN15,0)</f>
        <v>0</v>
      </c>
      <c r="CI16" s="93" t="n">
        <f aca="false">IF(AND(C16="Working - Special Holiday on RD",OR(C15="Legal Holiday",C15="Special Holiday",C15="Working - Legal Holiday on RD",C15="Normal")),BN15,0)</f>
        <v>0</v>
      </c>
      <c r="CJ16" s="93" t="n">
        <f aca="false">IF(OR(C17="Special Holiday",C17="Working - Legal Holiday on RD",C17="Working - Special Holiday on RD",C17="Legal Holiday",C17="Legal Holiday on RD",C17="Special Holiday on RD",),BP16,0)</f>
        <v>0</v>
      </c>
      <c r="CK16" s="93" t="n">
        <f aca="false">IF(AND(C16="Working - Rest Day",OR(C17="Special Holiday",C17="Working - Legal Holiday on RD",C17="Working - Special Holiday on RD",C17="Legal Holiday",C17="Legal Holiday on RD",C17="Special Holiday on RD",C17="Leave")),BP16,0)</f>
        <v>0</v>
      </c>
      <c r="CL16" s="93" t="n">
        <f aca="false">IF(AND(C16="Legal Holiday",OR(C17="Special Holiday",C17="Legal Holiday on RD",C17="Special Holiday on RD",C17="Normal",C17="Rest Day",C17="Working - Legal Holiday on RD",C17="Working - Special Holiday on RD",C17="Working - Rest Day",C17="Leave")),BP16,0)</f>
        <v>0</v>
      </c>
      <c r="CM16" s="93" t="n">
        <f aca="false">IF(AND(C16="Special Holiday",OR(C17="Legal Holiday",C17="Working - Legal Holiday on RD",C17="Working - Special Holiday on RD",C17="Normal",C17="Rest Day",C17="Legal Holiday on RD",C17="Special Holiday on RD",C17="Working - Rest Day",C17="Leave")),BP16,0)</f>
        <v>0</v>
      </c>
      <c r="CN16" s="93" t="n">
        <f aca="false">IF(AND(C16="Working - Legal Holiday on RD",OR(C17="Legal Holiday",C17="Special Holiday",C17="Working - Special Holiday on RD",C17="Normal",C17="Rest Day",C17="Special Holiday on RD",C17="Working - Rest Day",C17="Leave")),BP16,0)</f>
        <v>0</v>
      </c>
      <c r="CO16" s="93" t="n">
        <f aca="false">IF(AND(C16="Working - Special Holiday on RD",OR(C17="Legal Holiday",C17="Special Holiday",C17="Working - Legal Holiday on RD",C17="Normal",C17="Rest Day",C17="Leave",C17="Legal Holiday on RD")),BP16,0)</f>
        <v>0</v>
      </c>
      <c r="CP16" s="93" t="n">
        <f aca="false">IF(OR(C15="Special Holiday",C15="Working - Legal Holiday on RD",C15="Working - Special Holiday on RD",C15="Legal Holiday"),BP15,0)</f>
        <v>0</v>
      </c>
      <c r="CQ16" s="93" t="n">
        <f aca="false">IF(AND(C16="Working - Rest Day",OR(C15="Special Holiday",C15="Working - Legal Holiday on RD",C15="Working - Special Holiday on RD",C15="Normal",C15="Legal Holiday")),BP15,0)</f>
        <v>0</v>
      </c>
      <c r="CR16" s="93" t="n">
        <f aca="false">IF(AND(OR(C16="Legal Holiday",C16="Legal Holiday on a Rest Day"),OR(C15="Special Holiday",C15="Working - Legal Holiday on RD",C15="Working - Special Holiday on RD",C15="Normal")),BP15,0)</f>
        <v>0</v>
      </c>
      <c r="CS16" s="93" t="n">
        <f aca="false">IF(AND(OR(C16="Special Holiday",C16="Special Holiday on RD"),OR(C15="Legal Holiday",C15="Working - Legal Holiday on RD",C15="Working - Special Holiday on RD",C15="Normal")),BP15,0)</f>
        <v>0</v>
      </c>
      <c r="CT16" s="93" t="n">
        <f aca="false">IF(AND(C16="Working - Legal Holiday on a RD",OR(C15="Legal Holiday",C15="Special Holiday",C15="Working - Special Holiday on RD",C15="Normal")),BP15,0)</f>
        <v>0</v>
      </c>
      <c r="CU16" s="93" t="n">
        <f aca="false">IF(AND(C16="Working - Special Holiday on RD",OR(C15="Legal Holiday",C15="Special Holiday",C15="Working - Legal Holiday on RD",C15="Normal")),BP15,0)</f>
        <v>0</v>
      </c>
      <c r="CV16" s="93" t="n">
        <f aca="false">IF(OR(C17="Special Holiday",C17="Working - Legal Holiday on RD",C17="Working - Special Holiday on RD",C17="Legal Holiday",C17="Legal Holiday on RD",C17="Special Holiday on RD",),BQ16,0)</f>
        <v>0</v>
      </c>
      <c r="CW16" s="93" t="n">
        <f aca="false">IF(AND(C16="Working - Rest Day",OR(C17="Special Holiday",C17="Working - Legal Holiday on RD",C17="Working - Special Holiday on RD",C17="Legal Holiday",C17="Legal Holiday on RD",C17="Special Holiday on RD",C17="Leave")),BQ16,0)</f>
        <v>0</v>
      </c>
      <c r="CX16" s="93" t="n">
        <f aca="false">IF(AND(C16="Legal Holiday",OR(C17="Special Holiday",C17="Legal Holiday on RD",C17="Special Holiday on RD",C17="Normal",C17="Rest Day",C17="Working - Legal Holiday on RD",C17="Working - Special Holiday on RD",C17="Working - Rest Day",C17="Leave")),BQ16,0)</f>
        <v>0</v>
      </c>
      <c r="CY16" s="93" t="n">
        <f aca="false">IF(AND(C16="Special Holiday",OR(C17="Legal Holiday",C17="Working - Legal Holiday on RD",C17="Working - Special Holiday on RD",C17="Normal",C17="Rest Day",C17="Legal Holiday on RD",C17="Special Holiday on RD",C17="Working - Rest Day",C17="Leave")),BQ16,0)</f>
        <v>0</v>
      </c>
      <c r="CZ16" s="93" t="n">
        <f aca="false">IF(AND(C16="Working - Legal Holiday on RD",OR(C17="Legal Holiday",C17="Special Holiday",C17="Working - Special Holiday on RD",C17="Normal",C17="Rest Day",C17="Special Holiday on RD",C17="Working - Rest Day",C17="Leave")),BQ16,0)</f>
        <v>0</v>
      </c>
      <c r="DA16" s="93" t="n">
        <f aca="false">IF(AND(C16="Working - Special Holiday on RD",OR(C17="Legal Holiday",C17="Special Holiday",C17="Working - Legal Holiday on RD",C17="Normal",C17="Rest Day",C17="Leave",C17="Legal Holiday on RD")),BQ16,0)</f>
        <v>0</v>
      </c>
      <c r="DB16" s="93" t="n">
        <f aca="false">IF(OR(C15="Special Holiday",C15="Working - Legal Holiday on RD",C15="Working - Special Holiday on RD",C15="Legal Holiday"),BQ15,0)</f>
        <v>0</v>
      </c>
      <c r="DC16" s="93" t="n">
        <f aca="false">IF(AND(C16="Working - Rest Day",OR(C15="Special Holiday",C15="Working - Legal Holiday on RD",C15="Working - Special Holiday on RD",C15="Normal",C15="Legal Holiday")),BQ15,0)</f>
        <v>0</v>
      </c>
      <c r="DD16" s="93" t="n">
        <f aca="false">IF(AND(OR(C16="Legal Holiday",C16="Legal Holiday on a Rest Day"),OR(C15="Special Holiday",C15="Working - Legal Holiday on RD",C15="Working - Special Holiday on RD",C15="Normal")),BQ15,0)</f>
        <v>0</v>
      </c>
      <c r="DE16" s="93" t="n">
        <f aca="false">IF(AND(OR(C16="Special Holiday",C16="Special Holiday on RD"),OR(C15="Legal Holiday",C15="Working - Legal Holiday on RD",C15="Working - Special Holiday on RD",C15="Normal")),BQ15,0)</f>
        <v>0</v>
      </c>
      <c r="DF16" s="93" t="n">
        <f aca="false">IF(AND(C16="Working - Legal Holiday on a RD",OR(C15="Legal Holiday",C15="Special Holiday",C15="Working - Special Holiday on RD",C15="Normal")),BQ15,0)</f>
        <v>0</v>
      </c>
      <c r="DG16" s="93" t="n">
        <f aca="false">IF(AND(C16="Working - Special Holiday on RD",OR(C15="Legal Holiday",C15="Special Holiday",C15="Working - Legal Holiday on RD",C15="Normal")),BQ15,0)</f>
        <v>0</v>
      </c>
      <c r="DH16" s="93" t="n">
        <f aca="false">IF(OR(C17="Special Holiday",C17="Working - Legal Holiday on RD",C17="Working - Special Holiday on RD",C17="Legal Holiday",C17="Legal Holiday on RD",C17="Special Holiday on RD",),BO16,0)</f>
        <v>0</v>
      </c>
      <c r="DI16" s="93" t="n">
        <f aca="false">IF(AND(C16="Working - Rest Day",OR(C17="Special Holiday",C17="Working - Legal Holiday on RD",C17="Working - Special Holiday on RD",C17="Legal Holiday",C17="Legal Holiday on RD",C17="Special Holiday on RD",C17="Leave")),BO16,0)</f>
        <v>0</v>
      </c>
      <c r="DJ16" s="93" t="n">
        <f aca="false">IF(AND(C16="Legal Holiday",OR(C17="Special Holiday",C17="Legal Holiday on RD",C17="Special Holiday on RD",C17="Normal",C17="Rest Day",C17="Working - Legal Holiday on RD",C17="Working - Special Holiday on RD",C17="Working - Rest Day",C17="Leave")),BO16,0)</f>
        <v>0</v>
      </c>
      <c r="DK16" s="93" t="n">
        <f aca="false">IF(AND(C16="Special Holiday",OR(C17="Legal Holiday",C17="Working - Legal Holiday on RD",C17="Working - Special Holiday on RD",C17="Normal",C17="Rest Day",C17="Legal Holiday on RD",C17="Special Holiday on RD",C17="Working - Rest Day",C17="Leave")),BO16,0)</f>
        <v>0</v>
      </c>
      <c r="DL16" s="93" t="n">
        <f aca="false">IF(AND(C16="Working - Legal Holiday on RD",OR(C17="Legal Holiday",C17="Special Holiday",C17="Working - Special Holiday on RD",C17="Normal",C17="Rest Day",C17="Special Holiday on RD",C17="Working - Rest Day",C17="Leave")),BO16,0)</f>
        <v>0</v>
      </c>
      <c r="DM16" s="93" t="n">
        <f aca="false">IF(AND(C16="Working - Special Holiday on RD",OR(C17="Legal Holiday",C17="Special Holiday",C17="Working - Legal Holiday on RD",C17="Normal",C17="Rest Day",C17="Leave",C17="Legal Holiday on RD")),BO16,0)</f>
        <v>0</v>
      </c>
      <c r="DN16" s="93" t="n">
        <f aca="false">IF(OR(C15="Special Holiday",C15="Working - Legal Holiday on RD",C15="Working - Special Holiday on RD",C15="Legal Holiday"),BO15,0)</f>
        <v>0</v>
      </c>
      <c r="DO16" s="93" t="n">
        <f aca="false">IF(AND(C16="Working - Rest Day",OR(C15="Special Holiday",C15="Working - Legal Holiday on RD",C15="Working - Special Holiday on RD",C15="Normal",C15="Legal Holiday")),BO15,0)</f>
        <v>0</v>
      </c>
      <c r="DP16" s="93" t="n">
        <f aca="false">IF(AND(OR(C16="Legal Holiday",C16="Legal Holiday on a Rest Day"),OR(C15="Special Holiday",C15="Working - Legal Holiday on RD",C15="Working - Special Holiday on RD",C15="Normal")),BO15,0)</f>
        <v>0</v>
      </c>
      <c r="DQ16" s="93" t="n">
        <f aca="false">IF(AND(OR(C16="Special Holiday",C16="Special Holiday on RD"),OR(C15="Legal Holiday",C15="Working - Legal Holiday on RD",C15="Working - Special Holiday on RD",C15="Normal")),BO15,0)</f>
        <v>0</v>
      </c>
      <c r="DR16" s="93" t="n">
        <f aca="false">IF(AND(C16="Working - Legal Holiday on a RD",OR(C15="Legal Holiday",C15="Special Holiday",C15="Working - Special Holiday on RD",C15="Normal")),BO15,0)</f>
        <v>0</v>
      </c>
      <c r="DS16" s="93" t="n">
        <f aca="false">IF(AND(C16="Working - Special Holiday on RD",OR(C15="Legal Holiday",C15="Special Holiday",C15="Working - Legal Holiday on RD",C15="Normal")),BO15,0)</f>
        <v>0</v>
      </c>
    </row>
    <row r="17" s="6" customFormat="true" ht="14.25" hidden="false" customHeight="true" outlineLevel="0" collapsed="false">
      <c r="A17" s="79" t="n">
        <v>46192</v>
      </c>
      <c r="B17" s="80" t="str">
        <f aca="false">TEXT(WEEKDAY(A17),"ddd")</f>
        <v>Fri</v>
      </c>
      <c r="C17" s="81" t="s">
        <v>19</v>
      </c>
      <c r="D17" s="82"/>
      <c r="E17" s="79"/>
      <c r="F17" s="82"/>
      <c r="G17" s="82"/>
      <c r="H17" s="82"/>
      <c r="I17" s="83" t="n">
        <f aca="false">IFERROR(IF(N17="Strict",IF(C17="Normal",IFERROR(IF((HOUR(IF(AQ17&lt;=AR17,BB17-AR17,BB17-AQ17))+MINUTE(IF(AQ17&lt;=AR17,BB17-AR17,BB17-AQ17))/60)&gt;=6,HOUR(IF(AQ17&lt;=AR17,BB17-AR17,BB17-AQ17))+MINUTE(IF(AQ17&lt;=AR17,BB17-AR17,BB17-AQ17))/60-1,HOUR(IF(AQ17&lt;=AR17,BB17-AR17,BB17-AQ17))+MINUTE(IF(AQ17&lt;=AR17,BB17-AR17,BB17-AQ17))/60),0),0),IF(N17="Flexi",IF(C17="Normal",IF((HOUR(BB17-AR17)+MINUTE(BB17-AR17)/60)&gt;=6,(HOUR(BB17-AR17)+MINUTE(BB17-AR17)/60)-1,(HOUR(BB17-AR17)+MINUTE(BB17-AR17)/60)),0),0)),0)</f>
        <v>0</v>
      </c>
      <c r="J17" s="82"/>
      <c r="K17" s="79"/>
      <c r="L17" s="84"/>
      <c r="M17" s="79"/>
      <c r="N17" s="79"/>
      <c r="O17" s="85"/>
      <c r="P17" s="85"/>
      <c r="Q17" s="86"/>
      <c r="R17" s="87" t="n">
        <f aca="false">IF(AND(C17="Normal",I17&gt;0),(8-S17),0)-IF(AND(C17="Normal",OR(C18="Special Holiday",C18="Working - Legal Holiday on RD",C18="Working - Special Holiday on RD",C18="Legal Holiday",C18="Legal Holiday on RD",C18="Special Holiday on RD")),BN17,0)+IF(AND(OR(C17="Normal",C17="Leave",C17="Rest Day"),OR(C16="Special Holiday",C16="Working - Legal Holiday on RD",C16="Working - Special Holiday on RD",C16="Legal Holiday")),BN16,0)</f>
        <v>0</v>
      </c>
      <c r="S17" s="87" t="n">
        <f aca="false">IF(C17="Normal",IF(P17="Remain Lates",(IFERROR(IF(N17="Strict",IF(C17="Normal",IF(AQ17&lt;=AR17,HOUR(AR17-AQ17)+(MINUTE(AR17-AQ17)/60),0)+IF(BB17&lt;=BC17,HOUR(BC17-BB17)+(MINUTE(BC17-BB17)/60),0),0),IF(I17=0,0,(8-I17))),0)-(O17/60)),IF((O17/60)&gt;=IFERROR(IF(N17="Strict",IF(C17="Normal",IF(AQ17&lt;=AR17,HOUR(AR17-AQ17)+(MINUTE(AR17-AQ17)/60),0)+IF(BB17&lt;=BC17,HOUR(BC17-BB17)+(MINUTE(BC17-BB17)/60),0),0),IF(I17=0,0,(8-I17))),0),0,IFERROR(IF(N17="Strict",IF(C17="Normal",IF(AQ17&lt;=AR17,HOUR(AR17-AQ17)+(MINUTE(AR17-AQ17)/60),0)+IF(BB17&lt;=BC17,HOUR(BC17-BB17)+(MINUTE(BC17-BB17)/60),0),0),IF(I17=0,0,(8-I17))),0))),0)</f>
        <v>0</v>
      </c>
      <c r="T17" s="88" t="n">
        <f aca="false">IF(AND(C17="Working - Rest Day",BW17&gt;0),(8-IF(BV17&gt;6,BV17-1,BV17)),0)-IF(AND(C17="Working - Rest Day",OR(C18="Special Holiday",C18="Working - Legal Holiday on RD",C18="Working - Special Holiday on RD",C18="Legal Holiday",C18="Legal Holiday on RD",C18="Special Holiday on RD")),BN17,0)+IF(AND(C17="Working - Rest Day",OR(C16="Special Holiday",C16="Working - Legal Holiday on RD",C16="Working - Special Holiday on RD",C16="Legal Holiday")),BN16,0)</f>
        <v>0</v>
      </c>
      <c r="U17" s="88" t="n">
        <f aca="false">IF(AND(C17="Legal Holiday",BW17&gt;0),(8-IF(BV17&gt;6,BV17-1,BV17)),0)-IF(AND(C17="Legal Holiday",OR(C18="Special Holiday",C18="Legal Holiday on RD",C18="Special Holiday on RD",C18="Normal",C18="Rest Day",C18="Working - Legal Holiday on RD",C18="Working - Special Holiday on RD",C18="Working - Rest Day",C18="Leave")),BN17,0)+IF(AND(OR(C17="Legal Holiday",C17="Legal Holiday on RD"),OR(C16="Special Holiday",C16="Working - Legal Holiday on RD",C16="Working - Special Holiday on RD",C16="Normal",C16="Working - Rest Day")),BN16,0)</f>
        <v>0</v>
      </c>
      <c r="V17" s="88" t="n">
        <f aca="false">IF(AND(C17="Special Holiday",BW17&gt;0),(8-IF(BV17&gt;6,BV17-1,BV17)),0)-IF(AND(C17="Special Holiday",OR(C18="Legal Holiday",C18="Working - Legal Holiday on RD",C18="Working - Special Holiday on RD",C18="Normal",C18="Rest Day",C18="Legal Holiday on RD",C18="Special Holiday on RD",C18="Working - Rest Day",C18="Leave")),BN17,0)+IF(AND(OR(C17="Special Holiday",C17="Special Holiday on RD"),OR(C16="Legal Holiday",C16="Working - Legal Holiday on RD",C16="Working - Special Holiday on RD",C16="Working - Rest Day",C16="Normal")),BN16,0)</f>
        <v>0</v>
      </c>
      <c r="W17" s="88" t="n">
        <f aca="false">IF(AND(C17="Working - Legal Holiday on RD",BW17&gt;0),(8-IF(BV17&gt;6,BV17-1,BV17)),0)-IF(AND(C17="Working - Legal Holiday on RD",OR(C18="Legal Holiday",C18="Special Holiday",C18="Working - Special Holiday on RD",C18="Normal",C18="Rest Day",C18="Special Holiday on RD",C18="Working - Rest Day",C18="Leave")),BN17,0)+IF(AND(C17="Working - Legal Holiday on RD",OR(C16="Legal Holiday",C16="Special Holiday",C16="Working - Special Holiday on RD",C16="Working - Rest Day",C16="Normal")),BN16,0)</f>
        <v>0</v>
      </c>
      <c r="X17" s="88" t="n">
        <f aca="false">IF(AND(C17="Working - Special Holiday on RD",BW17&gt;0),(8-IF(BV17&gt;6,BV17-1,BV17)),0)-IF(AND(C17="Working - Special Holiday on RD",OR(C18="Legal Holiday",C18="Special Holiday",C18="Working - Legal Holiday on RD",C18="Normal",C18="Rest Day",C18="Leave",C18="Working - Rest Day",C18="Legal Holiday on RD")),BN17,0)+IF(AND(C17="Working - Special Holiday on RD",OR(C16="Legal Holiday",C16="Special Holiday",C16="Working - Legal Holiday on RD",C16="Normal",C16="Working - Rest Day")),BN16,0)</f>
        <v>0</v>
      </c>
      <c r="Y17" s="88" t="n">
        <f aca="false">IFERROR(IF(C17="Normal",HOUR(AY17-AV17)+MINUTE(AY17-AV17)/60,0),0)-IFERROR(IF(C17="Normal",HOUR(BA17-AX17)+MINUTE(BA17-AX17)/60,0),0)-IF(AND(C17="Normal",OR(C18="Special Holiday",C18="Working - Legal Holiday on RD",C18="Working - Special Holiday on RD",C18="Legal Holiday",C18="Legal Holiday on RD",C18="Special Holiday on RD")),BP17,0)+IF(AND(OR(C17="Normal",C17="Rest Day",C17="Leave"),OR(C16="Special Holiday",C16="Working - Legal Holiday on RD",C16="Working - Special Holiday on RD",C16="Legal Holiday")),BP16,0)</f>
        <v>0</v>
      </c>
      <c r="Z17" s="88" t="n">
        <f aca="false">IFERROR(IF(C17="Working - Rest Day",HOUR(AY17-AV17)+MINUTE(AY17-AV17)/60,0),0)-IFERROR(IF(C17="Working - Rest Day",HOUR(BA17-AX17)+MINUTE(BA17-AX17)/60,0),0)-IF(AND(C17="Working - Rest Day",OR(C18="Special Holiday",C18="Working - Legal Holiday on RD",C18="Working - Special Holiday on RD",C18="Legal Holiday",C18="Legal Holiday on RD",C18="Special Holiday on RD")),BP17,0)+IF(AND(C17="Working - Rest Day",OR(C16="Special Holiday",C16="Working - Legal Holiday on RD",C16="Working - Special Holiday on RD",C16="Legal Holiday")),BP16,0)</f>
        <v>0</v>
      </c>
      <c r="AA17" s="88" t="n">
        <f aca="false">IFERROR(IF(C17="Legal Holiday",HOUR(AY17-AV17)+MINUTE(AY17-AV17)/60,0),0)-IFERROR(IF(C17="Legal Holiday",HOUR(BA17-AX17)+MINUTE(BA17-AX17)/60,0),0)-IF(AND(C17="Legal Holiday",OR(C18="Special Holiday",C18="Legal Holiday on RD",C18="Special Holiday on RD",C18="Normal",C18="Rest Day",C18="Working - Legal Holiday on RD",C18="Working - Special Holiday on RD",C18="Working - Rest Day",C18="Leave")),BP17,0)+IF(AND(OR(C17="Legal Holiday",C17="Legal Holiday on RD"),OR(C16="Special Holiday",C16="Working - Legal Holiday on RD",C16="Working - Special Holiday on RD",C16="Normal",C16="Working - Rest Day")),BP16,0)</f>
        <v>0</v>
      </c>
      <c r="AB17" s="88" t="n">
        <f aca="false">IFERROR(IF(C17="Special Holiday",HOUR(AY17-AV17)+MINUTE(AY17-AV17)/60,0),0)-IFERROR(IF(C17="Special Holiday",HOUR(BA17-AX17)+MINUTE(BA17-AX17)/60,0),0)-IF(AND(C17="Special Holiday",OR(C18="Legal Holiday",C18="Working - Legal Holiday on RD",C18="Working - Special Holiday on RD",C18="Normal",C18="Rest Day",C18="Legal Holiday on RD",C18="Special Holiday on RD",C18="Working - Rest Day",C18="Leave")),BP17,0)+IF(AND(OR(C17="Special Holiday",C17="Special Holiday on RD"),OR(C16="Legal Holiday",C16="Working - Legal Holiday on RD",C16="Working - Special Holiday on RD",C16="Normal",C16="Working - Rest Day")),BP16,0)</f>
        <v>0</v>
      </c>
      <c r="AC17" s="88" t="n">
        <f aca="false">IFERROR(IF(C17="Working - Legal Holiday on RD",HOUR(AY17-AV17)+MINUTE(AY17-AV17)/60,0),0)-IFERROR(IF(C17="Working - Legal Holiday on RD",HOUR(BA17-AX17)+MINUTE(BA17-AX17)/60,0),0)-IF(AND(C17="Working - Legal Holiday on RD",OR(C18="Legal Holiday",C18="Special Holiday",C18="Working - Special Holiday on RD",C18="Normal",C18="Rest Day",C18="Special Holiday on RD",C18="Working - Rest Day",C18="Leave")),BP17,0)+IF(AND(C17="Working - Legal Holiday on RD",OR(C16="Legal Holiday",C16="Special Holiday",C16="Working - Special Holiday on RD",C16="Normal",C16="Working - Rest Day")),BP16,0)</f>
        <v>0</v>
      </c>
      <c r="AD17" s="88" t="n">
        <f aca="false">IFERROR(IF(C17="Working - Special Holiday on RD",HOUR(AY17-AV17)+MINUTE(AY17-AV17)/60,0),0)-IFERROR(IF(C17="Working - Special Holiday on RD",HOUR(BA17-AX17)+MINUTE(BA17-AX17)/60,0),0)-IF(AND(C17="Working - Special Holiday on RD",OR(C18="Legal Holiday",C18="Special Holiday",C18="Working - Legal Holiday on RD",C18="Normal",C18="Rest Day",C18="Working - Rest Day",C18="Leave",C18="Legal Holiday on RD")),BP17,0)+IF(AND(C17="Working - Special Holiday on RD",OR(C16="Legal Holiday",C16="Special Holiday",C16="Working - Legal Holiday on RD",C16="Normal",C16="Working - Rest Day")),BP16,0)</f>
        <v>0</v>
      </c>
      <c r="AE17" s="88" t="n">
        <f aca="false">IFERROR(IF(C17="Normal",HOUR(BA17-AX17)+MINUTE(BA17-AX17)/60,0),0)-IF(AND(C17="Normal",OR(C18="Special Holiday",C18="Working - Legal Holiday on RD",C18="Working - Special Holiday on RD",C18="Legal Holiday",C18="Legal Holiday on RD",C18="Special Holiday on RD")),BQ17,0)+IF(AND(OR(C17="Normal",C17="Rest Day",C17="Leave"),OR(C16="Special Holiday",C16="Working - Legal Holiday on RD",C16="Working - Special Holiday on RD",C16="Legal Holiday")),BQ16,0)</f>
        <v>0</v>
      </c>
      <c r="AF17" s="88" t="n">
        <f aca="false">IFERROR(IF(C17="Working - Rest Day",HOUR(BA17-AX17)+MINUTE(BA17-AX17)/60,0),0)-IF(AND(C17="Working - Rest Day",OR(C18="Special Holiday",C18="Working - Legal Holiday on RD",C18="Working - Special Holiday on RD",C18="Legal Holiday",C18="Legal Holiday on RD",C18="Special Holiday on RD")),BQ17,0)+IF(AND(C17="Working - Rest Day",OR(C16="Special Holiday",C16="Working - Legal Holiday on RD",C16="Working - Special Holiday on RD",C16="Legal Holiday")),BQ16,0)</f>
        <v>0</v>
      </c>
      <c r="AG17" s="88" t="n">
        <f aca="false">IFERROR(IF(C17="Legal Holiday",HOUR(BA17-AX17)+MINUTE(BA17-AX17)/60,0),0)-IF(AND(C17="Legal Holiday",OR(C18="Special Holiday",C18="Legal Holiday on RD",C18="Special Holiday on RD",C18="Normal",C18="Rest Day",C18="Working - Legal Holiday on RD",C18="Working - Special Holiday on RD",C18="Working - Rest Day",C18="Leave")),BQ17,0)+IF(AND(OR(C17="Legal Holiday",C17="Legal Holiday on RD"),OR(C16="Special Holiday",C16="Working - Legal Holiday on RD",C16="Working - Special Holiday on RD",C16="Normal",C16="Working - Rest Day")),BQ16,0)</f>
        <v>0</v>
      </c>
      <c r="AH17" s="88" t="n">
        <f aca="false">IFERROR(IF(C17="Special Holiday",HOUR(BA17-AX17)+MINUTE(BA17-AX17)/60,0),0)-IF(AND(C17="Special Holiday",OR(C18="Legal Holiday",C18="Working - Legal Holiday on RD",C18="Working - Special Holiday on RD",C18="Normal",C18="Rest Day",C18="Legal Holiday on RD",C18="Special Holiday on RD",C18="Working - Rest Day",C18="Leave")),BQ17,0)+IF(AND(OR(C17="Special Holiday",C17="Special Holiday on RD"),OR(C16="Legal Holiday",C16="Working - Legal Holiday on RD",C16="Working - Special Holiday on RD",C16="Normal",C16="Working - Rest Day")),BQ16,0)</f>
        <v>0</v>
      </c>
      <c r="AI17" s="88" t="n">
        <f aca="false">IFERROR(IF(C17="Working - Legal Holiday on RD",HOUR(BA17-AX17)+MINUTE(BA17-AX17)/60,0),0)-IF(AND(C17="Working - Legal Holiday on RD",OR(C18="Legal Holiday",C18="Special Holiday",C18="Working - Special Holiday on RD",C18="Normal",C18="Rest Day",C18="Special Holiday on RD",C18="Working - Rest Day",C18="Leave")),BQ17,0)+IF(AND(C17="Working - Legal Holiday on RD",OR(C16="Legal Holiday",C16="Special Holiday",C16="Working - Special Holiday on RD",C16="Normal",C16="Working - Rest Day")),BQ16,0)</f>
        <v>0</v>
      </c>
      <c r="AJ17" s="88" t="n">
        <f aca="false">IFERROR(IF(C17="Working - Special Holiday on RD",HOUR(BA17-AX17)+MINUTE(BA17-AX17)/60,0),0)-IF(AND(C17="Working - Special Holiday on RD",OR(C18="Legal Holiday",C18="Special Holiday",C18="Working - Legal Holiday on RD",C18="Normal",C18="Rest Day",C18="Working - Rest Day",C18="Leave",C18="Legal Holiday on RD")),BQ17,0)+IF(AND(C17="Working - Special Holiday on RD",OR(C16="Legal Holiday",C16="Special Holiday",C16="Working - Legal Holiday on RD",C16="Normal",C16="Working - Rest Day")),BQ16,0)</f>
        <v>0</v>
      </c>
      <c r="AK17" s="88" t="n">
        <f aca="false">IFERROR(IF(C17="Normal",HOUR(BF17-AU17)+(MINUTE(BF17-AU17)/60),0),0)-IF(AND(C17="Normal",OR(C18="Special Holiday",C18="Working - Legal Holiday on RD",C18="Working - Special Holiday on RD",C18="Legal Holiday",C18="Legal Holiday on RD",C18="Special Holiday on RD")),BO17,0)+IF(AND(OR(C17="Normal",C17="Rest Day",C17="Leave"),OR(C16="Special Holiday",C16="Working - Legal Holiday on RD",C16="Working - Special Holiday on RD",C16="Legal Holiday")),BO16,0)</f>
        <v>0</v>
      </c>
      <c r="AL17" s="88" t="n">
        <f aca="false">IFERROR(IF(C17="Working - Rest Day",HOUR(BF17-AU17)+(MINUTE(BF17-AU17)/60),0),0)-IF(AND(C17="Working - Rest Day",OR(C18="Special Holiday",C18="Working - Legal Holiday on RD",C18="Working - Special Holiday on RD",C18="Legal Holiday",C18="Legal Holiday on RD",C18="Special Holiday on RD")),BO17,0)+IF(AND(C17="Working - Rest Day",OR(C16="Special Holiday",C16="Working - Legal Holiday on RD",C16="Working - Special Holiday on RD",C16="Legal Holiday")),BO16,0)</f>
        <v>0</v>
      </c>
      <c r="AM17" s="88" t="n">
        <f aca="false">IFERROR(IF(C17="Legal Holiday",HOUR(BF17-AU17)+(MINUTE(BF17-AU17)/60),0),0)-IF(AND(C17="Legal Holiday",OR(C18="Special Holiday",C18="Legal Holiday on RD",C18="Special Holiday on RD",C18="Normal",C18="Rest Day",C18="Working - Legal Holiday on RD",C18="Working - Special Holiday on RD",C18="Working - Rest Day",C18="Leave")),BO17,0)+IF(AND(OR(C17="Legal Holiday",C17="Legal Holiday on RD"),OR(C16="Special Holiday",C16="Working - Legal Holiday on RD",C16="Working - Special Holiday on RD",C16="Normal",C16="Working - Rest Day")),BO16,0)</f>
        <v>0</v>
      </c>
      <c r="AN17" s="88" t="n">
        <f aca="false">IFERROR(IF(C17="Special Holiday",HOUR(BF17-AU17)+(MINUTE(BF17-AU17)/60),0),0)-IF(AND(C17="Special Holiday",OR(C18="Legal Holiday",C18="Working - Legal Holiday on RD",C18="Working - Special Holiday on RD",C18="Normal",C18="Rest Day",C18="Legal Holiday on RD",C18="Special Holiday on RD",C18="Working - Rest Day",C18="Leave")),BO17,0)+IF(AND(OR(C17="Special Holiday",C17="Special Holiday on RD"),OR(C16="Legal Holiday",C16="Working - Legal Holiday on RD",C16="Working - Special Holiday on RD",C16="Normal",C16="Working - Rest Day")),BO16,0)</f>
        <v>0</v>
      </c>
      <c r="AO17" s="88" t="n">
        <f aca="false">IFERROR(IF(C17="Working - Legal Holiday on RD",HOUR(BF17-AU17)+(MINUTE(BF17-AU17)/60),0),0)-IF(AND(C17="Working - Legal Holiday on RD",OR(C18="Legal Holiday",C18="Special Holiday",C18="Working - Special Holiday on RD",C18="Normal",C18="Rest Day",C18="Special Holiday on RD",C18="Working - Rest Day",C18="Leave")),BO17,0)+IF(AND(C17="Working - Legal Holiday on RD",OR(C16="Legal Holiday",C16="Special Holiday",C16="Working - Special Holiday on RD",C16="Normal",C16="Working - Rest Day")),BO16,0)</f>
        <v>0</v>
      </c>
      <c r="AP17" s="88" t="n">
        <f aca="false">IFERROR(IF(C17="Working - Special Holiday on RD",HOUR(BF17-AU17)+(MINUTE(BF17-AU17)/60),0),0)-IF(AND(C17="Working - Special Holiday on RD",OR(C18="Legal Holiday",C18="Special Holiday",C18="Working - Legal Holiday on RD",C18="Normal",C18="Rest Day",C18="Working - Rest Day",C18="Leave",C18="Legal Holiday on RD")),BO17,0)+IF(AND(C17="Working - Special Holiday on RD",OR(C16="Legal Holiday",C16="Special Holiday",C16="Working - Legal Holiday on RD",C16="Normal",C16="Working - Rest Day")),BO16,0)</f>
        <v>0</v>
      </c>
      <c r="AQ17" s="89" t="str">
        <f aca="false">TEXT(D17,"HH:MM")&amp;" "&amp;TEXT(A17,"DD-mmm-YY")</f>
        <v>00:00 19-Jun-26</v>
      </c>
      <c r="AR17" s="89" t="str">
        <f aca="false">TEXT(G17,"HH:MM")&amp;" "&amp;TEXT(A17,"DD-mmm-YY")</f>
        <v>00:00 19-Jun-26</v>
      </c>
      <c r="AS17" s="60" t="str">
        <f aca="false">IF($AR$1&lt;D17,AR17,IF(AT17&lt;=AR17,AR17,AT17))</f>
        <v>22:00 18-Jun-26</v>
      </c>
      <c r="AT17" s="60" t="str">
        <f aca="false">IF(AND(D17&gt;=0,D17&lt;0.25),TEXT($AR$1,"HH:MM")&amp;" "&amp;TEXT((A17-1),"dd-mmm-yy"),TEXT($AR$1,"HH:MM")&amp;" "&amp;TEXT(A17,"dd-mmm-yy"))</f>
        <v>22:00 18-Jun-26</v>
      </c>
      <c r="AU17" s="40" t="e">
        <f aca="false" t="array" ref="AU17:AU17">MAX(AQ17:AS17+0)</f>
        <v>#VALUE!</v>
      </c>
      <c r="AV17" s="60" t="str">
        <f aca="false">TEXT(J17,"HH:MM")&amp;" "&amp;TEXT(K17,"DD-mmm-YY")</f>
        <v>00:00 00-Jan-00</v>
      </c>
      <c r="AW17" s="60" t="str">
        <f aca="false">IF(K17&lt;A17,TEXT($AR$1,"HH:MM")&amp;" "&amp;TEXT((A17-1),"dd-mmm-yy"),IF(AND(D17&gt;0,D17&lt;0.25,L17&lt;0.916666666666667,A17&lt;M17),TEXT($AR$1,"HH:MM")&amp;" "&amp;TEXT((A17-1),"dd-mmm-yy"),TEXT($AR$1,"HH:MM")&amp;" "&amp;TEXT(A17,"dd-mmm-yy")))</f>
        <v>22:00 18-Jun-26</v>
      </c>
      <c r="AX17" s="40" t="e">
        <f aca="false" t="array" ref="AX17:AX17">MAX(AV17:AW17+0)</f>
        <v>#VALUE!</v>
      </c>
      <c r="AY17" s="60" t="str">
        <f aca="false">TEXT(L17,"HH:MM")&amp;" "&amp;TEXT(M17,"DD-mmm-YY")</f>
        <v>00:00 00-Jan-00</v>
      </c>
      <c r="AZ17" s="60" t="str">
        <f aca="false">IF(AND(D17&gt;=0,D17&lt;0.25,L17&lt;0.916666666666667,A17&gt;M17),TEXT($AR$2,"HH:MM")&amp;" "&amp;TEXT(A17,"DD-mmm-YY"),TEXT($AR$2,"HH:MM")&amp;" "&amp;TEXT((A17+1),"DD-mmm-YY"))</f>
        <v>06:00 19-Jun-26</v>
      </c>
      <c r="BA17" s="40" t="e">
        <f aca="false" t="array" ref="BA17:BA17">MIN(AY17:AZ17+0)</f>
        <v>#VALUE!</v>
      </c>
      <c r="BB17" s="60" t="str">
        <f aca="false">IF(G17&gt;H17,TEXT(H17,"HH:MM")&amp;" "&amp;TEXT(E17,"DD-mmm-YY"),IF(H17&gt;1,TEXT(H17,"HH:MM")&amp;" "&amp;TEXT(E17,"DD-mmm-YY"),TEXT(H17,"HH:MM")&amp;" "&amp;TEXT(A17,"DD-mmm-YY")))</f>
        <v>00:00 19-Jun-26</v>
      </c>
      <c r="BC17" s="60" t="str">
        <f aca="false">IF(N17="Flexi",TEXT(G17+$BC$1,"HH:MM")&amp;" "&amp;TEXT(E17,"DD-mmm-YY"),TEXT(F17,"HH:MM")&amp;" "&amp;TEXT(E17,"DD-mmm-YY"))</f>
        <v>00:00 30-Dec-99</v>
      </c>
      <c r="BD17" s="90" t="e">
        <f aca="false" t="array" ref="BD17:BD17">MIN(BB17:BC17+0)</f>
        <v>#VALUE!</v>
      </c>
      <c r="BE17" s="60" t="str">
        <f aca="false">IF(D17&gt;0.25,TEXT($AR$2,"HH:MM")&amp;" "&amp;TEXT(IF(BG17&lt;H17,A17+1,E17),"DD-mmm-YY"),IF(D17&gt;=0,TEXT($AR$2,"HH:MM")&amp;" "&amp;TEXT(IF(BG17&lt;H17,A17+1,E17)-1,"DD-mmm-YY"),TEXT($AR$2,"HH:MM")&amp;" "&amp;TEXT(IF(BG17&lt;H17,A17+1,E17),"DD-mmm-YY")))</f>
        <v>06:00 29-Dec-99</v>
      </c>
      <c r="BF17" s="40" t="e">
        <f aca="false" t="array" ref="BF17:BF17">IF(N17="Flexi",IF(AND(BB17&gt;BC17,BB17&lt;BE17),BB17,MIN(BB17:BE17+0)),MIN(BB17:BE17+0))</f>
        <v>#VALUE!</v>
      </c>
      <c r="BG17" s="7" t="n">
        <v>0</v>
      </c>
      <c r="BH17" s="9" t="str">
        <f aca="false">TEXT(BG17,"HH:MM")&amp;" "&amp;TEXT(A17+1,"DD-mmm-YY")</f>
        <v>00:00 20-Jun-26</v>
      </c>
      <c r="BI17" s="9" t="str">
        <f aca="false">AV17</f>
        <v>00:00 00-Jan-00</v>
      </c>
      <c r="BJ17" s="91" t="e">
        <f aca="false" t="array" ref="BJ17:BJ17">MAX(BH17:BI17+0)</f>
        <v>#VALUE!</v>
      </c>
      <c r="BK17" s="9" t="str">
        <f aca="false">TEXT($AR$2,"HH:MM")&amp;" "&amp;TEXT(A17+1,"DD-mmm-YY")</f>
        <v>06:00 20-Jun-26</v>
      </c>
      <c r="BL17" s="9" t="str">
        <f aca="false">AY17</f>
        <v>00:00 00-Jan-00</v>
      </c>
      <c r="BM17" s="91" t="e">
        <f aca="false" t="array" ref="BM17:BM17">MIN(BK17:BL17+0)</f>
        <v>#VALUE!</v>
      </c>
      <c r="BN17" s="13" t="n">
        <f aca="false">IF(IFERROR(IF(E17&gt;A17,IF(BD17&gt;=BD17,HOUR(BD17-BH17)+MINUTE(BD17-BH17)/60,0),0),0)&gt;5,(IFERROR(IF(E17&gt;A17,IF(BD17&gt;=BD17,HOUR(BD17-BH17)+MINUTE(BD17-BH17)/60,0),0),0)-1),IFERROR(IF(E17&gt;A17,IF(BD17&gt;=BD17,HOUR(BD17-BH17)+MINUTE(BD17-BH17)/60,0),0),0))</f>
        <v>0</v>
      </c>
      <c r="BO17" s="13" t="n">
        <f aca="false">IFERROR(IF(E17&gt;A17,HOUR(BF17-BH17)+MINUTE(BF17-BH17)/60,0),0)</f>
        <v>0</v>
      </c>
      <c r="BP17" s="92" t="n">
        <f aca="false">IF(AND(A17&lt;M17,L17&gt;0.25,L17&lt;=0.916666666666667,J17&gt;=0.25),IFERROR(HOUR(AY17-AV17)+MINUTE(AY17-AV17)/60,0),IFERROR(HOUR(AY17-BK17)+MINUTE(AY17-BK17)/60,0))</f>
        <v>0</v>
      </c>
      <c r="BQ17" s="13" t="n">
        <f aca="false">IFERROR(HOUR(BM17-BJ17)+MINUTE(BM17-BJ17)/60,0)</f>
        <v>0</v>
      </c>
      <c r="BR17" s="13" t="n">
        <f aca="false">IF(AND(C17=C17,BW17&gt;0),(8-BV17),0)-BN17</f>
        <v>0</v>
      </c>
      <c r="BS17" s="13" t="n">
        <f aca="false">IFERROR(IF(C17=C17,HOUR(BF17-AU17)+(MINUTE(BF17-AU17)/60),0),0)-BO17</f>
        <v>0</v>
      </c>
      <c r="BT17" s="92" t="n">
        <f aca="false">IFERROR(IF(C17=C17,HOUR(AY17-AV17)+MINUTE(AY17-AV17)/60,0),0)-IFERROR(IF(C17=C17,HOUR(BA17-AX17)+MINUTE(BA17-AX17)/60,0),0)-BP17</f>
        <v>0</v>
      </c>
      <c r="BU17" s="13" t="n">
        <f aca="false">IFERROR(IF(C17=C17,HOUR(BA17-AX17)+MINUTE(BA17-AX17)/60,0),0)-BQ17</f>
        <v>0</v>
      </c>
      <c r="BV17" s="13" t="n">
        <f aca="false">IF(C17=C17,IF(P17="Remain Lates",(IFERROR(IF(N17="Strict",IF(C17=C17,IF(AQ17&lt;=AR17,HOUR(AR17-AQ17)+(MINUTE(AR17-AQ17)/60),0)+IF(BB17&lt;=BC17,HOUR(BC17-BB17)+(MINUTE(BC17-BB17)/60),0),0),IF(BW17=0,0,(8-BW17))),0)-(O17/60)),IF((O17/60)&gt;=IFERROR(IF(N17="Strict",IF(C17=C17,IF(AQ17&lt;=AR17,HOUR(AR17-AQ17)+(MINUTE(AR17-AQ17)/60),0)+IF(BB17&lt;=BC17,HOUR(BC17-BB17)+(MINUTE(BC17-BB17)/60),0),0),IF(BW17=0,0,(8-BW17))),0),0,IFERROR(IF(N17="Strict",IF(C17=C17,IF(AQ17&lt;=AR17,HOUR(AR17-AQ17)+(MINUTE(AR17-AQ17)/60),0)+IF(BB17&lt;=BC17,HOUR(BC17-BB17)+(MINUTE(BC17-BB17)/60),0),0),IF(BW17=0,0,(8-BW17))),0))),0)</f>
        <v>0</v>
      </c>
      <c r="BW17" s="13" t="n">
        <f aca="false">IFERROR(IF(N17="Strict",IF(C17=C17,IFERROR(IF((HOUR(IF(AQ17&lt;=AR17,BB17-AR17,BB17-AQ17))+MINUTE(IF(AQ17&lt;=AR17,BB17-AR17,BB17-AQ17))/60)&gt;=6,HOUR(IF(AQ17&lt;=AR17,BB17-AR17,BB17-AQ17))+MINUTE(IF(AQ17&lt;=AR17,BB17-AR17,BB17-AQ17))/60-1,HOUR(IF(AQ17&lt;=AR17,BB17-AR17,BB17-AQ17))+MINUTE(IF(AQ17&lt;=AR17,BB17-AR17,BB17-AQ17))/60),0),0),IF(N17="Flexi",IF(C17=C17,IF((HOUR(BB17-AR17)+MINUTE(BB17-AR17)/60)&gt;=6,(HOUR(BB17-AR17)+MINUTE(BB17-AR17)/60)-1,(HOUR(BB17-AR17)+MINUTE(BB17-AR17)/60)),0),0)),0)</f>
        <v>0</v>
      </c>
      <c r="BX17" s="93" t="n">
        <f aca="false">IF(OR(C18="Special Holiday",C18="Working - Legal Holiday on RD",C18="Working - Special Holiday on RD",C18="Legal Holiday",C18="Legal Holiday on RD",C18="Special Holiday on RD",),BN17,0)</f>
        <v>0</v>
      </c>
      <c r="BY17" s="93" t="n">
        <f aca="false">IF(AND(C17="Working - Rest Day",OR(C18="Special Holiday",C18="Working - Legal Holiday on RD",C18="Working - Special Holiday on RD",C18="Legal Holiday",C18="Legal Holiday on RD",C18="Special Holiday on RD",C18="Leave")),BN17,0)</f>
        <v>0</v>
      </c>
      <c r="BZ17" s="93" t="n">
        <f aca="false">IF(AND(C17="Legal Holiday",OR(C18="Special Holiday",C18="Legal Holiday on RD",C18="Special Holiday on RD",C18="Normal",C18="Rest Day",C18="Working - Legal Holiday on RD",C18="Working - Special Holiday on RD",C18="Working - Rest Day",C18="Leave")),BN17,0)</f>
        <v>0</v>
      </c>
      <c r="CA17" s="93" t="n">
        <f aca="false">IF(AND(C17="Special Holiday",OR(C18="Legal Holiday",C18="Working - Legal Holiday on RD",C18="Working - Special Holiday on RD",C18="Normal",C18="Rest Day",C18="Legal Holiday on RD",C18="Special Holiday on RD",C18="Working - Rest Day",C18="Leave")),BN17,0)</f>
        <v>0</v>
      </c>
      <c r="CB17" s="93" t="n">
        <f aca="false">IF(AND(C17="Working - Legal Holiday on RD",OR(C18="Legal Holiday",C18="Special Holiday",C18="Working - Special Holiday on RD",C18="Normal",C18="Rest Day",C18="Special Holiday on RD",C18="Working - Rest Day",C18="Leave")),BN17,0)</f>
        <v>0</v>
      </c>
      <c r="CC17" s="93" t="n">
        <f aca="false">IF(AND(C17="Working - Special Holiday on RD",OR(C18="Legal Holiday",C18="Special Holiday",C18="Working - Legal Holiday on RD",C18="Normal",C18="Rest Day",C18="Leave",C18="Legal Holiday on RD")),BN17,0)</f>
        <v>0</v>
      </c>
      <c r="CD17" s="93" t="n">
        <f aca="false">IF(OR(C16="Special Holiday",C16="Working - Legal Holiday on RD",C16="Working - Special Holiday on RD",C16="Legal Holiday"),BN16,0)</f>
        <v>0</v>
      </c>
      <c r="CE17" s="93" t="n">
        <f aca="false">IF(AND(C17="Working - Rest Day",OR(C16="Special Holiday",C16="Working - Legal Holiday on RD",C16="Working - Special Holiday on RD",C16="Normal",C16="Legal Holiday")),BN16,0)</f>
        <v>0</v>
      </c>
      <c r="CF17" s="93" t="n">
        <f aca="false">IF(AND(OR(C17="Legal Holiday",C17="Legal Holiday on a Rest Day"),OR(C16="Special Holiday",C16="Working - Legal Holiday on RD",C16="Working - Special Holiday on RD",C16="Normal")),BN16,0)</f>
        <v>0</v>
      </c>
      <c r="CG17" s="93" t="n">
        <f aca="false">IF(AND(OR(C17="Special Holiday",C17="Special Holiday on RD"),OR(C16="Legal Holiday",C16="Working - Legal Holiday on RD",C16="Working - Special Holiday on RD",C16="Normal")),BN16,0)</f>
        <v>0</v>
      </c>
      <c r="CH17" s="93" t="n">
        <f aca="false">IF(AND(C17="Working - Legal Holiday on a RD",OR(C16="Legal Holiday",C16="Special Holiday",C16="Working - Special Holiday on RD",C16="Normal")),BN16,0)</f>
        <v>0</v>
      </c>
      <c r="CI17" s="93" t="n">
        <f aca="false">IF(AND(C17="Working - Special Holiday on RD",OR(C16="Legal Holiday",C16="Special Holiday",C16="Working - Legal Holiday on RD",C16="Normal")),BN16,0)</f>
        <v>0</v>
      </c>
      <c r="CJ17" s="93" t="n">
        <f aca="false">IF(OR(C18="Special Holiday",C18="Working - Legal Holiday on RD",C18="Working - Special Holiday on RD",C18="Legal Holiday",C18="Legal Holiday on RD",C18="Special Holiday on RD",),BP17,0)</f>
        <v>0</v>
      </c>
      <c r="CK17" s="93" t="n">
        <f aca="false">IF(AND(C17="Working - Rest Day",OR(C18="Special Holiday",C18="Working - Legal Holiday on RD",C18="Working - Special Holiday on RD",C18="Legal Holiday",C18="Legal Holiday on RD",C18="Special Holiday on RD",C18="Leave")),BP17,0)</f>
        <v>0</v>
      </c>
      <c r="CL17" s="93" t="n">
        <f aca="false">IF(AND(C17="Legal Holiday",OR(C18="Special Holiday",C18="Legal Holiday on RD",C18="Special Holiday on RD",C18="Normal",C18="Rest Day",C18="Working - Legal Holiday on RD",C18="Working - Special Holiday on RD",C18="Working - Rest Day",C18="Leave")),BP17,0)</f>
        <v>0</v>
      </c>
      <c r="CM17" s="93" t="n">
        <f aca="false">IF(AND(C17="Special Holiday",OR(C18="Legal Holiday",C18="Working - Legal Holiday on RD",C18="Working - Special Holiday on RD",C18="Normal",C18="Rest Day",C18="Legal Holiday on RD",C18="Special Holiday on RD",C18="Working - Rest Day",C18="Leave")),BP17,0)</f>
        <v>0</v>
      </c>
      <c r="CN17" s="93" t="n">
        <f aca="false">IF(AND(C17="Working - Legal Holiday on RD",OR(C18="Legal Holiday",C18="Special Holiday",C18="Working - Special Holiday on RD",C18="Normal",C18="Rest Day",C18="Special Holiday on RD",C18="Working - Rest Day",C18="Leave")),BP17,0)</f>
        <v>0</v>
      </c>
      <c r="CO17" s="93" t="n">
        <f aca="false">IF(AND(C17="Working - Special Holiday on RD",OR(C18="Legal Holiday",C18="Special Holiday",C18="Working - Legal Holiday on RD",C18="Normal",C18="Rest Day",C18="Leave",C18="Legal Holiday on RD")),BP17,0)</f>
        <v>0</v>
      </c>
      <c r="CP17" s="93" t="n">
        <f aca="false">IF(OR(C16="Special Holiday",C16="Working - Legal Holiday on RD",C16="Working - Special Holiday on RD",C16="Legal Holiday"),BP16,0)</f>
        <v>0</v>
      </c>
      <c r="CQ17" s="93" t="n">
        <f aca="false">IF(AND(C17="Working - Rest Day",OR(C16="Special Holiday",C16="Working - Legal Holiday on RD",C16="Working - Special Holiday on RD",C16="Normal",C16="Legal Holiday")),BP16,0)</f>
        <v>0</v>
      </c>
      <c r="CR17" s="93" t="n">
        <f aca="false">IF(AND(OR(C17="Legal Holiday",C17="Legal Holiday on a Rest Day"),OR(C16="Special Holiday",C16="Working - Legal Holiday on RD",C16="Working - Special Holiday on RD",C16="Normal")),BP16,0)</f>
        <v>0</v>
      </c>
      <c r="CS17" s="93" t="n">
        <f aca="false">IF(AND(OR(C17="Special Holiday",C17="Special Holiday on RD"),OR(C16="Legal Holiday",C16="Working - Legal Holiday on RD",C16="Working - Special Holiday on RD",C16="Normal")),BP16,0)</f>
        <v>0</v>
      </c>
      <c r="CT17" s="93" t="n">
        <f aca="false">IF(AND(C17="Working - Legal Holiday on a RD",OR(C16="Legal Holiday",C16="Special Holiday",C16="Working - Special Holiday on RD",C16="Normal")),BP16,0)</f>
        <v>0</v>
      </c>
      <c r="CU17" s="93" t="n">
        <f aca="false">IF(AND(C17="Working - Special Holiday on RD",OR(C16="Legal Holiday",C16="Special Holiday",C16="Working - Legal Holiday on RD",C16="Normal")),BP16,0)</f>
        <v>0</v>
      </c>
      <c r="CV17" s="93" t="n">
        <f aca="false">IF(OR(C18="Special Holiday",C18="Working - Legal Holiday on RD",C18="Working - Special Holiday on RD",C18="Legal Holiday",C18="Legal Holiday on RD",C18="Special Holiday on RD",),BQ17,0)</f>
        <v>0</v>
      </c>
      <c r="CW17" s="93" t="n">
        <f aca="false">IF(AND(C17="Working - Rest Day",OR(C18="Special Holiday",C18="Working - Legal Holiday on RD",C18="Working - Special Holiday on RD",C18="Legal Holiday",C18="Legal Holiday on RD",C18="Special Holiday on RD",C18="Leave")),BQ17,0)</f>
        <v>0</v>
      </c>
      <c r="CX17" s="93" t="n">
        <f aca="false">IF(AND(C17="Legal Holiday",OR(C18="Special Holiday",C18="Legal Holiday on RD",C18="Special Holiday on RD",C18="Normal",C18="Rest Day",C18="Working - Legal Holiday on RD",C18="Working - Special Holiday on RD",C18="Working - Rest Day",C18="Leave")),BQ17,0)</f>
        <v>0</v>
      </c>
      <c r="CY17" s="93" t="n">
        <f aca="false">IF(AND(C17="Special Holiday",OR(C18="Legal Holiday",C18="Working - Legal Holiday on RD",C18="Working - Special Holiday on RD",C18="Normal",C18="Rest Day",C18="Legal Holiday on RD",C18="Special Holiday on RD",C18="Working - Rest Day",C18="Leave")),BQ17,0)</f>
        <v>0</v>
      </c>
      <c r="CZ17" s="93" t="n">
        <f aca="false">IF(AND(C17="Working - Legal Holiday on RD",OR(C18="Legal Holiday",C18="Special Holiday",C18="Working - Special Holiday on RD",C18="Normal",C18="Rest Day",C18="Special Holiday on RD",C18="Working - Rest Day",C18="Leave")),BQ17,0)</f>
        <v>0</v>
      </c>
      <c r="DA17" s="93" t="n">
        <f aca="false">IF(AND(C17="Working - Special Holiday on RD",OR(C18="Legal Holiday",C18="Special Holiday",C18="Working - Legal Holiday on RD",C18="Normal",C18="Rest Day",C18="Leave",C18="Legal Holiday on RD")),BQ17,0)</f>
        <v>0</v>
      </c>
      <c r="DB17" s="93" t="n">
        <f aca="false">IF(OR(C16="Special Holiday",C16="Working - Legal Holiday on RD",C16="Working - Special Holiday on RD",C16="Legal Holiday"),BQ16,0)</f>
        <v>0</v>
      </c>
      <c r="DC17" s="93" t="n">
        <f aca="false">IF(AND(C17="Working - Rest Day",OR(C16="Special Holiday",C16="Working - Legal Holiday on RD",C16="Working - Special Holiday on RD",C16="Normal",C16="Legal Holiday")),BQ16,0)</f>
        <v>0</v>
      </c>
      <c r="DD17" s="93" t="n">
        <f aca="false">IF(AND(OR(C17="Legal Holiday",C17="Legal Holiday on a Rest Day"),OR(C16="Special Holiday",C16="Working - Legal Holiday on RD",C16="Working - Special Holiday on RD",C16="Normal")),BQ16,0)</f>
        <v>0</v>
      </c>
      <c r="DE17" s="93" t="n">
        <f aca="false">IF(AND(OR(C17="Special Holiday",C17="Special Holiday on RD"),OR(C16="Legal Holiday",C16="Working - Legal Holiday on RD",C16="Working - Special Holiday on RD",C16="Normal")),BQ16,0)</f>
        <v>0</v>
      </c>
      <c r="DF17" s="93" t="n">
        <f aca="false">IF(AND(C17="Working - Legal Holiday on a RD",OR(C16="Legal Holiday",C16="Special Holiday",C16="Working - Special Holiday on RD",C16="Normal")),BQ16,0)</f>
        <v>0</v>
      </c>
      <c r="DG17" s="93" t="n">
        <f aca="false">IF(AND(C17="Working - Special Holiday on RD",OR(C16="Legal Holiday",C16="Special Holiday",C16="Working - Legal Holiday on RD",C16="Normal")),BQ16,0)</f>
        <v>0</v>
      </c>
      <c r="DH17" s="93" t="n">
        <f aca="false">IF(OR(C18="Special Holiday",C18="Working - Legal Holiday on RD",C18="Working - Special Holiday on RD",C18="Legal Holiday",C18="Legal Holiday on RD",C18="Special Holiday on RD",),BO17,0)</f>
        <v>0</v>
      </c>
      <c r="DI17" s="93" t="n">
        <f aca="false">IF(AND(C17="Working - Rest Day",OR(C18="Special Holiday",C18="Working - Legal Holiday on RD",C18="Working - Special Holiday on RD",C18="Legal Holiday",C18="Legal Holiday on RD",C18="Special Holiday on RD",C18="Leave")),BO17,0)</f>
        <v>0</v>
      </c>
      <c r="DJ17" s="93" t="n">
        <f aca="false">IF(AND(C17="Legal Holiday",OR(C18="Special Holiday",C18="Legal Holiday on RD",C18="Special Holiday on RD",C18="Normal",C18="Rest Day",C18="Working - Legal Holiday on RD",C18="Working - Special Holiday on RD",C18="Working - Rest Day",C18="Leave")),BO17,0)</f>
        <v>0</v>
      </c>
      <c r="DK17" s="93" t="n">
        <f aca="false">IF(AND(C17="Special Holiday",OR(C18="Legal Holiday",C18="Working - Legal Holiday on RD",C18="Working - Special Holiday on RD",C18="Normal",C18="Rest Day",C18="Legal Holiday on RD",C18="Special Holiday on RD",C18="Working - Rest Day",C18="Leave")),BO17,0)</f>
        <v>0</v>
      </c>
      <c r="DL17" s="93" t="n">
        <f aca="false">IF(AND(C17="Working - Legal Holiday on RD",OR(C18="Legal Holiday",C18="Special Holiday",C18="Working - Special Holiday on RD",C18="Normal",C18="Rest Day",C18="Special Holiday on RD",C18="Working - Rest Day",C18="Leave")),BO17,0)</f>
        <v>0</v>
      </c>
      <c r="DM17" s="93" t="n">
        <f aca="false">IF(AND(C17="Working - Special Holiday on RD",OR(C18="Legal Holiday",C18="Special Holiday",C18="Working - Legal Holiday on RD",C18="Normal",C18="Rest Day",C18="Leave",C18="Legal Holiday on RD")),BO17,0)</f>
        <v>0</v>
      </c>
      <c r="DN17" s="93" t="n">
        <f aca="false">IF(OR(C16="Special Holiday",C16="Working - Legal Holiday on RD",C16="Working - Special Holiday on RD",C16="Legal Holiday"),BO16,0)</f>
        <v>0</v>
      </c>
      <c r="DO17" s="93" t="n">
        <f aca="false">IF(AND(C17="Working - Rest Day",OR(C16="Special Holiday",C16="Working - Legal Holiday on RD",C16="Working - Special Holiday on RD",C16="Normal",C16="Legal Holiday")),BO16,0)</f>
        <v>0</v>
      </c>
      <c r="DP17" s="93" t="n">
        <f aca="false">IF(AND(OR(C17="Legal Holiday",C17="Legal Holiday on a Rest Day"),OR(C16="Special Holiday",C16="Working - Legal Holiday on RD",C16="Working - Special Holiday on RD",C16="Normal")),BO16,0)</f>
        <v>0</v>
      </c>
      <c r="DQ17" s="93" t="n">
        <f aca="false">IF(AND(OR(C17="Special Holiday",C17="Special Holiday on RD"),OR(C16="Legal Holiday",C16="Working - Legal Holiday on RD",C16="Working - Special Holiday on RD",C16="Normal")),BO16,0)</f>
        <v>0</v>
      </c>
      <c r="DR17" s="93" t="n">
        <f aca="false">IF(AND(C17="Working - Legal Holiday on a RD",OR(C16="Legal Holiday",C16="Special Holiday",C16="Working - Special Holiday on RD",C16="Normal")),BO16,0)</f>
        <v>0</v>
      </c>
      <c r="DS17" s="93" t="n">
        <f aca="false">IF(AND(C17="Working - Special Holiday on RD",OR(C16="Legal Holiday",C16="Special Holiday",C16="Working - Legal Holiday on RD",C16="Normal")),BO16,0)</f>
        <v>0</v>
      </c>
    </row>
    <row r="18" s="6" customFormat="true" ht="14.25" hidden="false" customHeight="true" outlineLevel="0" collapsed="false">
      <c r="A18" s="79" t="n">
        <v>46193</v>
      </c>
      <c r="B18" s="80" t="str">
        <f aca="false">TEXT(WEEKDAY(A18),"ddd")</f>
        <v>Sat</v>
      </c>
      <c r="C18" s="81" t="s">
        <v>19</v>
      </c>
      <c r="D18" s="82"/>
      <c r="E18" s="79"/>
      <c r="F18" s="82"/>
      <c r="G18" s="82"/>
      <c r="H18" s="82"/>
      <c r="I18" s="83" t="n">
        <f aca="false">IFERROR(IF(N18="Strict",IF(C18="Normal",IFERROR(IF((HOUR(IF(AQ18&lt;=AR18,BB18-AR18,BB18-AQ18))+MINUTE(IF(AQ18&lt;=AR18,BB18-AR18,BB18-AQ18))/60)&gt;=6,HOUR(IF(AQ18&lt;=AR18,BB18-AR18,BB18-AQ18))+MINUTE(IF(AQ18&lt;=AR18,BB18-AR18,BB18-AQ18))/60-1,HOUR(IF(AQ18&lt;=AR18,BB18-AR18,BB18-AQ18))+MINUTE(IF(AQ18&lt;=AR18,BB18-AR18,BB18-AQ18))/60),0),0),IF(N18="Flexi",IF(C18="Normal",IF((HOUR(BB18-AR18)+MINUTE(BB18-AR18)/60)&gt;=6,(HOUR(BB18-AR18)+MINUTE(BB18-AR18)/60)-1,(HOUR(BB18-AR18)+MINUTE(BB18-AR18)/60)),0),0)),0)</f>
        <v>0</v>
      </c>
      <c r="J18" s="82"/>
      <c r="K18" s="94"/>
      <c r="L18" s="82"/>
      <c r="M18" s="94"/>
      <c r="N18" s="79"/>
      <c r="O18" s="85"/>
      <c r="P18" s="94"/>
      <c r="Q18" s="95"/>
      <c r="R18" s="87" t="n">
        <f aca="false">IF(AND(C18="Normal",I18&gt;0),(8-S18),0)-IF(AND(C18="Normal",OR(C19="Special Holiday",C19="Working - Legal Holiday on RD",C19="Working - Special Holiday on RD",C19="Legal Holiday",C19="Legal Holiday on RD",C19="Special Holiday on RD")),BN18,0)+IF(AND(OR(C18="Normal",C18="Leave",C18="Rest Day"),OR(C17="Special Holiday",C17="Working - Legal Holiday on RD",C17="Working - Special Holiday on RD",C17="Legal Holiday")),BN17,0)</f>
        <v>0</v>
      </c>
      <c r="S18" s="87" t="n">
        <f aca="false">IF(C18="Normal",IF(P18="Remain Lates",(IFERROR(IF(N18="Strict",IF(C18="Normal",IF(AQ18&lt;=AR18,HOUR(AR18-AQ18)+(MINUTE(AR18-AQ18)/60),0)+IF(BB18&lt;=BC18,HOUR(BC18-BB18)+(MINUTE(BC18-BB18)/60),0),0),IF(I18=0,0,(8-I18))),0)-(O18/60)),IF((O18/60)&gt;=IFERROR(IF(N18="Strict",IF(C18="Normal",IF(AQ18&lt;=AR18,HOUR(AR18-AQ18)+(MINUTE(AR18-AQ18)/60),0)+IF(BB18&lt;=BC18,HOUR(BC18-BB18)+(MINUTE(BC18-BB18)/60),0),0),IF(I18=0,0,(8-I18))),0),0,IFERROR(IF(N18="Strict",IF(C18="Normal",IF(AQ18&lt;=AR18,HOUR(AR18-AQ18)+(MINUTE(AR18-AQ18)/60),0)+IF(BB18&lt;=BC18,HOUR(BC18-BB18)+(MINUTE(BC18-BB18)/60),0),0),IF(I18=0,0,(8-I18))),0))),0)</f>
        <v>0</v>
      </c>
      <c r="T18" s="88" t="n">
        <f aca="false">IF(AND(C18="Working - Rest Day",BW18&gt;0),(8-IF(BV18&gt;6,BV18-1,BV18)),0)-IF(AND(C18="Working - Rest Day",OR(C19="Special Holiday",C19="Working - Legal Holiday on RD",C19="Working - Special Holiday on RD",C19="Legal Holiday",C19="Legal Holiday on RD",C19="Special Holiday on RD")),BN18,0)+IF(AND(C18="Working - Rest Day",OR(C17="Special Holiday",C17="Working - Legal Holiday on RD",C17="Working - Special Holiday on RD",C17="Legal Holiday")),BN17,0)</f>
        <v>0</v>
      </c>
      <c r="U18" s="88" t="n">
        <f aca="false">IF(AND(C18="Legal Holiday",BW18&gt;0),(8-IF(BV18&gt;6,BV18-1,BV18)),0)-IF(AND(C18="Legal Holiday",OR(C19="Special Holiday",C19="Legal Holiday on RD",C19="Special Holiday on RD",C19="Normal",C19="Rest Day",C19="Working - Legal Holiday on RD",C19="Working - Special Holiday on RD",C19="Working - Rest Day",C19="Leave")),BN18,0)+IF(AND(OR(C18="Legal Holiday",C18="Legal Holiday on RD"),OR(C17="Special Holiday",C17="Working - Legal Holiday on RD",C17="Working - Special Holiday on RD",C17="Normal",C17="Working - Rest Day")),BN17,0)</f>
        <v>0</v>
      </c>
      <c r="V18" s="88" t="n">
        <f aca="false">IF(AND(C18="Special Holiday",BW18&gt;0),(8-IF(BV18&gt;6,BV18-1,BV18)),0)-IF(AND(C18="Special Holiday",OR(C19="Legal Holiday",C19="Working - Legal Holiday on RD",C19="Working - Special Holiday on RD",C19="Normal",C19="Rest Day",C19="Legal Holiday on RD",C19="Special Holiday on RD",C19="Working - Rest Day",C19="Leave")),BN18,0)+IF(AND(OR(C18="Special Holiday",C18="Special Holiday on RD"),OR(C17="Legal Holiday",C17="Working - Legal Holiday on RD",C17="Working - Special Holiday on RD",C17="Working - Rest Day",C17="Normal")),BN17,0)</f>
        <v>0</v>
      </c>
      <c r="W18" s="88" t="n">
        <f aca="false">IF(AND(C18="Working - Legal Holiday on RD",BW18&gt;0),(8-IF(BV18&gt;6,BV18-1,BV18)),0)-IF(AND(C18="Working - Legal Holiday on RD",OR(C19="Legal Holiday",C19="Special Holiday",C19="Working - Special Holiday on RD",C19="Normal",C19="Rest Day",C19="Special Holiday on RD",C19="Working - Rest Day",C19="Leave")),BN18,0)+IF(AND(C18="Working - Legal Holiday on RD",OR(C17="Legal Holiday",C17="Special Holiday",C17="Working - Special Holiday on RD",C17="Working - Rest Day",C17="Normal")),BN17,0)</f>
        <v>0</v>
      </c>
      <c r="X18" s="88" t="n">
        <f aca="false">IF(AND(C18="Working - Special Holiday on RD",BW18&gt;0),(8-IF(BV18&gt;6,BV18-1,BV18)),0)-IF(AND(C18="Working - Special Holiday on RD",OR(C19="Legal Holiday",C19="Special Holiday",C19="Working - Legal Holiday on RD",C19="Normal",C19="Rest Day",C19="Leave",C19="Working - Rest Day",C19="Legal Holiday on RD")),BN18,0)+IF(AND(C18="Working - Special Holiday on RD",OR(C17="Legal Holiday",C17="Special Holiday",C17="Working - Legal Holiday on RD",C17="Normal",C17="Working - Rest Day")),BN17,0)</f>
        <v>0</v>
      </c>
      <c r="Y18" s="88" t="n">
        <f aca="false">IFERROR(IF(C18="Normal",HOUR(AY18-AV18)+MINUTE(AY18-AV18)/60,0),0)-IFERROR(IF(C18="Normal",HOUR(BA18-AX18)+MINUTE(BA18-AX18)/60,0),0)-IF(AND(C18="Normal",OR(C19="Special Holiday",C19="Working - Legal Holiday on RD",C19="Working - Special Holiday on RD",C19="Legal Holiday",C19="Legal Holiday on RD",C19="Special Holiday on RD")),BP18,0)+IF(AND(OR(C18="Normal",C18="Rest Day",C18="Leave"),OR(C17="Special Holiday",C17="Working - Legal Holiday on RD",C17="Working - Special Holiday on RD",C17="Legal Holiday")),BP17,0)</f>
        <v>0</v>
      </c>
      <c r="Z18" s="88" t="n">
        <f aca="false">IFERROR(IF(C18="Working - Rest Day",HOUR(AY18-AV18)+MINUTE(AY18-AV18)/60,0),0)-IFERROR(IF(C18="Working - Rest Day",HOUR(BA18-AX18)+MINUTE(BA18-AX18)/60,0),0)-IF(AND(C18="Working - Rest Day",OR(C19="Special Holiday",C19="Working - Legal Holiday on RD",C19="Working - Special Holiday on RD",C19="Legal Holiday",C19="Legal Holiday on RD",C19="Special Holiday on RD")),BP18,0)+IF(AND(C18="Working - Rest Day",OR(C17="Special Holiday",C17="Working - Legal Holiday on RD",C17="Working - Special Holiday on RD",C17="Legal Holiday")),BP17,0)</f>
        <v>0</v>
      </c>
      <c r="AA18" s="88" t="n">
        <f aca="false">IFERROR(IF(C18="Legal Holiday",HOUR(AY18-AV18)+MINUTE(AY18-AV18)/60,0),0)-IFERROR(IF(C18="Legal Holiday",HOUR(BA18-AX18)+MINUTE(BA18-AX18)/60,0),0)-IF(AND(C18="Legal Holiday",OR(C19="Special Holiday",C19="Legal Holiday on RD",C19="Special Holiday on RD",C19="Normal",C19="Rest Day",C19="Working - Legal Holiday on RD",C19="Working - Special Holiday on RD",C19="Working - Rest Day",C19="Leave")),BP18,0)+IF(AND(OR(C18="Legal Holiday",C18="Legal Holiday on RD"),OR(C17="Special Holiday",C17="Working - Legal Holiday on RD",C17="Working - Special Holiday on RD",C17="Normal",C17="Working - Rest Day")),BP17,0)</f>
        <v>0</v>
      </c>
      <c r="AB18" s="88" t="n">
        <f aca="false">IFERROR(IF(C18="Special Holiday",HOUR(AY18-AV18)+MINUTE(AY18-AV18)/60,0),0)-IFERROR(IF(C18="Special Holiday",HOUR(BA18-AX18)+MINUTE(BA18-AX18)/60,0),0)-IF(AND(C18="Special Holiday",OR(C19="Legal Holiday",C19="Working - Legal Holiday on RD",C19="Working - Special Holiday on RD",C19="Normal",C19="Rest Day",C19="Legal Holiday on RD",C19="Special Holiday on RD",C19="Working - Rest Day",C19="Leave")),BP18,0)+IF(AND(OR(C18="Special Holiday",C18="Special Holiday on RD"),OR(C17="Legal Holiday",C17="Working - Legal Holiday on RD",C17="Working - Special Holiday on RD",C17="Normal",C17="Working - Rest Day")),BP17,0)</f>
        <v>0</v>
      </c>
      <c r="AC18" s="88" t="n">
        <f aca="false">IFERROR(IF(C18="Working - Legal Holiday on RD",HOUR(AY18-AV18)+MINUTE(AY18-AV18)/60,0),0)-IFERROR(IF(C18="Working - Legal Holiday on RD",HOUR(BA18-AX18)+MINUTE(BA18-AX18)/60,0),0)-IF(AND(C18="Working - Legal Holiday on RD",OR(C19="Legal Holiday",C19="Special Holiday",C19="Working - Special Holiday on RD",C19="Normal",C19="Rest Day",C19="Special Holiday on RD",C19="Working - Rest Day",C19="Leave")),BP18,0)+IF(AND(C18="Working - Legal Holiday on RD",OR(C17="Legal Holiday",C17="Special Holiday",C17="Working - Special Holiday on RD",C17="Normal",C17="Working - Rest Day")),BP17,0)</f>
        <v>0</v>
      </c>
      <c r="AD18" s="88" t="n">
        <f aca="false">IFERROR(IF(C18="Working - Special Holiday on RD",HOUR(AY18-AV18)+MINUTE(AY18-AV18)/60,0),0)-IFERROR(IF(C18="Working - Special Holiday on RD",HOUR(BA18-AX18)+MINUTE(BA18-AX18)/60,0),0)-IF(AND(C18="Working - Special Holiday on RD",OR(C19="Legal Holiday",C19="Special Holiday",C19="Working - Legal Holiday on RD",C19="Normal",C19="Rest Day",C19="Working - Rest Day",C19="Leave",C19="Legal Holiday on RD")),BP18,0)+IF(AND(C18="Working - Special Holiday on RD",OR(C17="Legal Holiday",C17="Special Holiday",C17="Working - Legal Holiday on RD",C17="Normal",C17="Working - Rest Day")),BP17,0)</f>
        <v>0</v>
      </c>
      <c r="AE18" s="88" t="n">
        <f aca="false">IFERROR(IF(C18="Normal",HOUR(BA18-AX18)+MINUTE(BA18-AX18)/60,0),0)-IF(AND(C18="Normal",OR(C19="Special Holiday",C19="Working - Legal Holiday on RD",C19="Working - Special Holiday on RD",C19="Legal Holiday",C19="Legal Holiday on RD",C19="Special Holiday on RD")),BQ18,0)+IF(AND(OR(C18="Normal",C18="Rest Day",C18="Leave"),OR(C17="Special Holiday",C17="Working - Legal Holiday on RD",C17="Working - Special Holiday on RD",C17="Legal Holiday")),BQ17,0)</f>
        <v>0</v>
      </c>
      <c r="AF18" s="88" t="n">
        <f aca="false">IFERROR(IF(C18="Working - Rest Day",HOUR(BA18-AX18)+MINUTE(BA18-AX18)/60,0),0)-IF(AND(C18="Working - Rest Day",OR(C19="Special Holiday",C19="Working - Legal Holiday on RD",C19="Working - Special Holiday on RD",C19="Legal Holiday",C19="Legal Holiday on RD",C19="Special Holiday on RD")),BQ18,0)+IF(AND(C18="Working - Rest Day",OR(C17="Special Holiday",C17="Working - Legal Holiday on RD",C17="Working - Special Holiday on RD",C17="Legal Holiday")),BQ17,0)</f>
        <v>0</v>
      </c>
      <c r="AG18" s="88" t="n">
        <f aca="false">IFERROR(IF(C18="Legal Holiday",HOUR(BA18-AX18)+MINUTE(BA18-AX18)/60,0),0)-IF(AND(C18="Legal Holiday",OR(C19="Special Holiday",C19="Legal Holiday on RD",C19="Special Holiday on RD",C19="Normal",C19="Rest Day",C19="Working - Legal Holiday on RD",C19="Working - Special Holiday on RD",C19="Working - Rest Day",C19="Leave")),BQ18,0)+IF(AND(OR(C18="Legal Holiday",C18="Legal Holiday on RD"),OR(C17="Special Holiday",C17="Working - Legal Holiday on RD",C17="Working - Special Holiday on RD",C17="Normal",C17="Working - Rest Day")),BQ17,0)</f>
        <v>0</v>
      </c>
      <c r="AH18" s="88" t="n">
        <f aca="false">IFERROR(IF(C18="Special Holiday",HOUR(BA18-AX18)+MINUTE(BA18-AX18)/60,0),0)-IF(AND(C18="Special Holiday",OR(C19="Legal Holiday",C19="Working - Legal Holiday on RD",C19="Working - Special Holiday on RD",C19="Normal",C19="Rest Day",C19="Legal Holiday on RD",C19="Special Holiday on RD",C19="Working - Rest Day",C19="Leave")),BQ18,0)+IF(AND(OR(C18="Special Holiday",C18="Special Holiday on RD"),OR(C17="Legal Holiday",C17="Working - Legal Holiday on RD",C17="Working - Special Holiday on RD",C17="Normal",C17="Working - Rest Day")),BQ17,0)</f>
        <v>0</v>
      </c>
      <c r="AI18" s="88" t="n">
        <f aca="false">IFERROR(IF(C18="Working - Legal Holiday on RD",HOUR(BA18-AX18)+MINUTE(BA18-AX18)/60,0),0)-IF(AND(C18="Working - Legal Holiday on RD",OR(C19="Legal Holiday",C19="Special Holiday",C19="Working - Special Holiday on RD",C19="Normal",C19="Rest Day",C19="Special Holiday on RD",C19="Working - Rest Day",C19="Leave")),BQ18,0)+IF(AND(C18="Working - Legal Holiday on RD",OR(C17="Legal Holiday",C17="Special Holiday",C17="Working - Special Holiday on RD",C17="Normal",C17="Working - Rest Day")),BQ17,0)</f>
        <v>0</v>
      </c>
      <c r="AJ18" s="88" t="n">
        <f aca="false">IFERROR(IF(C18="Working - Special Holiday on RD",HOUR(BA18-AX18)+MINUTE(BA18-AX18)/60,0),0)-IF(AND(C18="Working - Special Holiday on RD",OR(C19="Legal Holiday",C19="Special Holiday",C19="Working - Legal Holiday on RD",C19="Normal",C19="Rest Day",C19="Working - Rest Day",C19="Leave",C19="Legal Holiday on RD")),BQ18,0)+IF(AND(C18="Working - Special Holiday on RD",OR(C17="Legal Holiday",C17="Special Holiday",C17="Working - Legal Holiday on RD",C17="Normal",C17="Working - Rest Day")),BQ17,0)</f>
        <v>0</v>
      </c>
      <c r="AK18" s="88" t="n">
        <f aca="false">IFERROR(IF(C18="Normal",HOUR(BF18-AU18)+(MINUTE(BF18-AU18)/60),0),0)-IF(AND(C18="Normal",OR(C19="Special Holiday",C19="Working - Legal Holiday on RD",C19="Working - Special Holiday on RD",C19="Legal Holiday",C19="Legal Holiday on RD",C19="Special Holiday on RD")),BO18,0)+IF(AND(OR(C18="Normal",C18="Rest Day",C18="Leave"),OR(C17="Special Holiday",C17="Working - Legal Holiday on RD",C17="Working - Special Holiday on RD",C17="Legal Holiday")),BO17,0)</f>
        <v>0</v>
      </c>
      <c r="AL18" s="88" t="n">
        <f aca="false">IFERROR(IF(C18="Working - Rest Day",HOUR(BF18-AU18)+(MINUTE(BF18-AU18)/60),0),0)-IF(AND(C18="Working - Rest Day",OR(C19="Special Holiday",C19="Working - Legal Holiday on RD",C19="Working - Special Holiday on RD",C19="Legal Holiday",C19="Legal Holiday on RD",C19="Special Holiday on RD")),BO18,0)+IF(AND(C18="Working - Rest Day",OR(C17="Special Holiday",C17="Working - Legal Holiday on RD",C17="Working - Special Holiday on RD",C17="Legal Holiday")),BO17,0)</f>
        <v>0</v>
      </c>
      <c r="AM18" s="88" t="n">
        <f aca="false">IFERROR(IF(C18="Legal Holiday",HOUR(BF18-AU18)+(MINUTE(BF18-AU18)/60),0),0)-IF(AND(C18="Legal Holiday",OR(C19="Special Holiday",C19="Legal Holiday on RD",C19="Special Holiday on RD",C19="Normal",C19="Rest Day",C19="Working - Legal Holiday on RD",C19="Working - Special Holiday on RD",C19="Working - Rest Day",C19="Leave")),BO18,0)+IF(AND(OR(C18="Legal Holiday",C18="Legal Holiday on RD"),OR(C17="Special Holiday",C17="Working - Legal Holiday on RD",C17="Working - Special Holiday on RD",C17="Normal",C17="Working - Rest Day")),BO17,0)</f>
        <v>0</v>
      </c>
      <c r="AN18" s="88" t="n">
        <f aca="false">IFERROR(IF(C18="Special Holiday",HOUR(BF18-AU18)+(MINUTE(BF18-AU18)/60),0),0)-IF(AND(C18="Special Holiday",OR(C19="Legal Holiday",C19="Working - Legal Holiday on RD",C19="Working - Special Holiday on RD",C19="Normal",C19="Rest Day",C19="Legal Holiday on RD",C19="Special Holiday on RD",C19="Working - Rest Day",C19="Leave")),BO18,0)+IF(AND(OR(C18="Special Holiday",C18="Special Holiday on RD"),OR(C17="Legal Holiday",C17="Working - Legal Holiday on RD",C17="Working - Special Holiday on RD",C17="Normal",C17="Working - Rest Day")),BO17,0)</f>
        <v>0</v>
      </c>
      <c r="AO18" s="88" t="n">
        <f aca="false">IFERROR(IF(C18="Working - Legal Holiday on RD",HOUR(BF18-AU18)+(MINUTE(BF18-AU18)/60),0),0)-IF(AND(C18="Working - Legal Holiday on RD",OR(C19="Legal Holiday",C19="Special Holiday",C19="Working - Special Holiday on RD",C19="Normal",C19="Rest Day",C19="Special Holiday on RD",C19="Working - Rest Day",C19="Leave")),BO18,0)+IF(AND(C18="Working - Legal Holiday on RD",OR(C17="Legal Holiday",C17="Special Holiday",C17="Working - Special Holiday on RD",C17="Normal",C17="Working - Rest Day")),BO17,0)</f>
        <v>0</v>
      </c>
      <c r="AP18" s="88" t="n">
        <f aca="false">IFERROR(IF(C18="Working - Special Holiday on RD",HOUR(BF18-AU18)+(MINUTE(BF18-AU18)/60),0),0)-IF(AND(C18="Working - Special Holiday on RD",OR(C19="Legal Holiday",C19="Special Holiday",C19="Working - Legal Holiday on RD",C19="Normal",C19="Rest Day",C19="Working - Rest Day",C19="Leave",C19="Legal Holiday on RD")),BO18,0)+IF(AND(C18="Working - Special Holiday on RD",OR(C17="Legal Holiday",C17="Special Holiday",C17="Working - Legal Holiday on RD",C17="Normal",C17="Working - Rest Day")),BO17,0)</f>
        <v>0</v>
      </c>
      <c r="AQ18" s="89" t="str">
        <f aca="false">TEXT(D18,"HH:MM")&amp;" "&amp;TEXT(A18,"DD-mmm-YY")</f>
        <v>00:00 20-Jun-26</v>
      </c>
      <c r="AR18" s="89" t="str">
        <f aca="false">TEXT(G18,"HH:MM")&amp;" "&amp;TEXT(A18,"DD-mmm-YY")</f>
        <v>00:00 20-Jun-26</v>
      </c>
      <c r="AS18" s="60" t="str">
        <f aca="false">IF($AR$1&lt;D18,AR18,IF(AT18&lt;=AR18,AR18,AT18))</f>
        <v>22:00 19-Jun-26</v>
      </c>
      <c r="AT18" s="60" t="str">
        <f aca="false">IF(AND(D18&gt;=0,D18&lt;0.25),TEXT($AR$1,"HH:MM")&amp;" "&amp;TEXT((A18-1),"dd-mmm-yy"),TEXT($AR$1,"HH:MM")&amp;" "&amp;TEXT(A18,"dd-mmm-yy"))</f>
        <v>22:00 19-Jun-26</v>
      </c>
      <c r="AU18" s="40" t="e">
        <f aca="false" t="array" ref="AU18:AU18">MAX(AQ18:AS18+0)</f>
        <v>#VALUE!</v>
      </c>
      <c r="AV18" s="60" t="str">
        <f aca="false">TEXT(J18,"HH:MM")&amp;" "&amp;TEXT(K18,"DD-mmm-YY")</f>
        <v>00:00 00-Jan-00</v>
      </c>
      <c r="AW18" s="60" t="str">
        <f aca="false">IF(K18&lt;A18,TEXT($AR$1,"HH:MM")&amp;" "&amp;TEXT((A18-1),"dd-mmm-yy"),IF(AND(D18&gt;0,D18&lt;0.25,L18&lt;0.916666666666667,A18&lt;M18),TEXT($AR$1,"HH:MM")&amp;" "&amp;TEXT((A18-1),"dd-mmm-yy"),TEXT($AR$1,"HH:MM")&amp;" "&amp;TEXT(A18,"dd-mmm-yy")))</f>
        <v>22:00 19-Jun-26</v>
      </c>
      <c r="AX18" s="40" t="e">
        <f aca="false" t="array" ref="AX18:AX18">MAX(AV18:AW18+0)</f>
        <v>#VALUE!</v>
      </c>
      <c r="AY18" s="60" t="str">
        <f aca="false">TEXT(L18,"HH:MM")&amp;" "&amp;TEXT(M18,"DD-mmm-YY")</f>
        <v>00:00 00-Jan-00</v>
      </c>
      <c r="AZ18" s="60" t="str">
        <f aca="false">IF(AND(D18&gt;=0,D18&lt;0.25,L18&lt;0.916666666666667,A18&gt;M18),TEXT($AR$2,"HH:MM")&amp;" "&amp;TEXT(A18,"DD-mmm-YY"),TEXT($AR$2,"HH:MM")&amp;" "&amp;TEXT((A18+1),"DD-mmm-YY"))</f>
        <v>06:00 20-Jun-26</v>
      </c>
      <c r="BA18" s="40" t="e">
        <f aca="false" t="array" ref="BA18:BA18">MIN(AY18:AZ18+0)</f>
        <v>#VALUE!</v>
      </c>
      <c r="BB18" s="60" t="str">
        <f aca="false">IF(G18&gt;H18,TEXT(H18,"HH:MM")&amp;" "&amp;TEXT(E18,"DD-mmm-YY"),IF(H18&gt;1,TEXT(H18,"HH:MM")&amp;" "&amp;TEXT(E18,"DD-mmm-YY"),TEXT(H18,"HH:MM")&amp;" "&amp;TEXT(A18,"DD-mmm-YY")))</f>
        <v>00:00 20-Jun-26</v>
      </c>
      <c r="BC18" s="60" t="str">
        <f aca="false">IF(N18="Flexi",TEXT(G18+$BC$1,"HH:MM")&amp;" "&amp;TEXT(E18,"DD-mmm-YY"),TEXT(F18,"HH:MM")&amp;" "&amp;TEXT(E18,"DD-mmm-YY"))</f>
        <v>00:00 30-Dec-99</v>
      </c>
      <c r="BD18" s="90" t="e">
        <f aca="false" t="array" ref="BD18:BD18">MIN(BB18:BC18+0)</f>
        <v>#VALUE!</v>
      </c>
      <c r="BE18" s="60" t="str">
        <f aca="false">IF(D18&gt;0.25,TEXT($AR$2,"HH:MM")&amp;" "&amp;TEXT(IF(BG18&lt;H18,A18+1,E18),"DD-mmm-YY"),IF(D18&gt;=0,TEXT($AR$2,"HH:MM")&amp;" "&amp;TEXT(IF(BG18&lt;H18,A18+1,E18)-1,"DD-mmm-YY"),TEXT($AR$2,"HH:MM")&amp;" "&amp;TEXT(IF(BG18&lt;H18,A18+1,E18),"DD-mmm-YY")))</f>
        <v>06:00 29-Dec-99</v>
      </c>
      <c r="BF18" s="40" t="e">
        <f aca="false" t="array" ref="BF18:BF18">IF(N18="Flexi",IF(AND(BB18&gt;BC18,BB18&lt;BE18),BB18,MIN(BB18:BE18+0)),MIN(BB18:BE18+0))</f>
        <v>#VALUE!</v>
      </c>
      <c r="BG18" s="7" t="n">
        <v>0</v>
      </c>
      <c r="BH18" s="9" t="str">
        <f aca="false">TEXT(BG18,"HH:MM")&amp;" "&amp;TEXT(A18+1,"DD-mmm-YY")</f>
        <v>00:00 21-Jun-26</v>
      </c>
      <c r="BI18" s="9" t="str">
        <f aca="false">AV18</f>
        <v>00:00 00-Jan-00</v>
      </c>
      <c r="BJ18" s="91" t="e">
        <f aca="false" t="array" ref="BJ18:BJ18">MAX(BH18:BI18+0)</f>
        <v>#VALUE!</v>
      </c>
      <c r="BK18" s="9" t="str">
        <f aca="false">TEXT($AR$2,"HH:MM")&amp;" "&amp;TEXT(A18+1,"DD-mmm-YY")</f>
        <v>06:00 21-Jun-26</v>
      </c>
      <c r="BL18" s="9" t="str">
        <f aca="false">AY18</f>
        <v>00:00 00-Jan-00</v>
      </c>
      <c r="BM18" s="91" t="e">
        <f aca="false" t="array" ref="BM18:BM18">MIN(BK18:BL18+0)</f>
        <v>#VALUE!</v>
      </c>
      <c r="BN18" s="13" t="n">
        <f aca="false">IF(IFERROR(IF(E18&gt;A18,IF(BD18&gt;=BD18,HOUR(BD18-BH18)+MINUTE(BD18-BH18)/60,0),0),0)&gt;5,(IFERROR(IF(E18&gt;A18,IF(BD18&gt;=BD18,HOUR(BD18-BH18)+MINUTE(BD18-BH18)/60,0),0),0)-1),IFERROR(IF(E18&gt;A18,IF(BD18&gt;=BD18,HOUR(BD18-BH18)+MINUTE(BD18-BH18)/60,0),0),0))</f>
        <v>0</v>
      </c>
      <c r="BO18" s="13" t="n">
        <f aca="false">IFERROR(IF(E18&gt;A18,HOUR(BF18-BH18)+MINUTE(BF18-BH18)/60,0),0)</f>
        <v>0</v>
      </c>
      <c r="BP18" s="92" t="n">
        <f aca="false">IF(AND(A18&lt;M18,L18&gt;0.25,L18&lt;=0.916666666666667,J18&gt;=0.25),IFERROR(HOUR(AY18-AV18)+MINUTE(AY18-AV18)/60,0),IFERROR(HOUR(AY18-BK18)+MINUTE(AY18-BK18)/60,0))</f>
        <v>0</v>
      </c>
      <c r="BQ18" s="13" t="n">
        <f aca="false">IFERROR(HOUR(BM18-BJ18)+MINUTE(BM18-BJ18)/60,0)</f>
        <v>0</v>
      </c>
      <c r="BR18" s="13" t="n">
        <f aca="false">IF(AND(C18=C18,BW18&gt;0),(8-BV18),0)-BN18</f>
        <v>0</v>
      </c>
      <c r="BS18" s="13" t="n">
        <f aca="false">IFERROR(IF(C18=C18,HOUR(BF18-AU18)+(MINUTE(BF18-AU18)/60),0),0)-BO18</f>
        <v>0</v>
      </c>
      <c r="BT18" s="92" t="n">
        <f aca="false">IFERROR(IF(C18=C18,HOUR(AY18-AV18)+MINUTE(AY18-AV18)/60,0),0)-IFERROR(IF(C18=C18,HOUR(BA18-AX18)+MINUTE(BA18-AX18)/60,0),0)-BP18</f>
        <v>0</v>
      </c>
      <c r="BU18" s="13" t="n">
        <f aca="false">IFERROR(IF(C18=C18,HOUR(BA18-AX18)+MINUTE(BA18-AX18)/60,0),0)-BQ18</f>
        <v>0</v>
      </c>
      <c r="BV18" s="13" t="n">
        <f aca="false">IF(C18=C18,IF(P18="Remain Lates",(IFERROR(IF(N18="Strict",IF(C18=C18,IF(AQ18&lt;=AR18,HOUR(AR18-AQ18)+(MINUTE(AR18-AQ18)/60),0)+IF(BB18&lt;=BC18,HOUR(BC18-BB18)+(MINUTE(BC18-BB18)/60),0),0),IF(BW18=0,0,(8-BW18))),0)-(O18/60)),IF((O18/60)&gt;=IFERROR(IF(N18="Strict",IF(C18=C18,IF(AQ18&lt;=AR18,HOUR(AR18-AQ18)+(MINUTE(AR18-AQ18)/60),0)+IF(BB18&lt;=BC18,HOUR(BC18-BB18)+(MINUTE(BC18-BB18)/60),0),0),IF(BW18=0,0,(8-BW18))),0),0,IFERROR(IF(N18="Strict",IF(C18=C18,IF(AQ18&lt;=AR18,HOUR(AR18-AQ18)+(MINUTE(AR18-AQ18)/60),0)+IF(BB18&lt;=BC18,HOUR(BC18-BB18)+(MINUTE(BC18-BB18)/60),0),0),IF(BW18=0,0,(8-BW18))),0))),0)</f>
        <v>0</v>
      </c>
      <c r="BW18" s="13" t="n">
        <f aca="false">IFERROR(IF(N18="Strict",IF(C18=C18,IFERROR(IF((HOUR(IF(AQ18&lt;=AR18,BB18-AR18,BB18-AQ18))+MINUTE(IF(AQ18&lt;=AR18,BB18-AR18,BB18-AQ18))/60)&gt;=6,HOUR(IF(AQ18&lt;=AR18,BB18-AR18,BB18-AQ18))+MINUTE(IF(AQ18&lt;=AR18,BB18-AR18,BB18-AQ18))/60-1,HOUR(IF(AQ18&lt;=AR18,BB18-AR18,BB18-AQ18))+MINUTE(IF(AQ18&lt;=AR18,BB18-AR18,BB18-AQ18))/60),0),0),IF(N18="Flexi",IF(C18=C18,IF((HOUR(BB18-AR18)+MINUTE(BB18-AR18)/60)&gt;=6,(HOUR(BB18-AR18)+MINUTE(BB18-AR18)/60)-1,(HOUR(BB18-AR18)+MINUTE(BB18-AR18)/60)),0),0)),0)</f>
        <v>0</v>
      </c>
      <c r="BX18" s="93" t="n">
        <f aca="false">IF(OR(C19="Special Holiday",C19="Working - Legal Holiday on RD",C19="Working - Special Holiday on RD",C19="Legal Holiday",C19="Legal Holiday on RD",C19="Special Holiday on RD",),BN18,0)</f>
        <v>0</v>
      </c>
      <c r="BY18" s="93" t="n">
        <f aca="false">IF(AND(C18="Working - Rest Day",OR(C19="Special Holiday",C19="Working - Legal Holiday on RD",C19="Working - Special Holiday on RD",C19="Legal Holiday",C19="Legal Holiday on RD",C19="Special Holiday on RD",C19="Leave")),BN18,0)</f>
        <v>0</v>
      </c>
      <c r="BZ18" s="93" t="n">
        <f aca="false">IF(AND(C18="Legal Holiday",OR(C19="Special Holiday",C19="Legal Holiday on RD",C19="Special Holiday on RD",C19="Normal",C19="Rest Day",C19="Working - Legal Holiday on RD",C19="Working - Special Holiday on RD",C19="Working - Rest Day",C19="Leave")),BN18,0)</f>
        <v>0</v>
      </c>
      <c r="CA18" s="93" t="n">
        <f aca="false">IF(AND(C18="Special Holiday",OR(C19="Legal Holiday",C19="Working - Legal Holiday on RD",C19="Working - Special Holiday on RD",C19="Normal",C19="Rest Day",C19="Legal Holiday on RD",C19="Special Holiday on RD",C19="Working - Rest Day",C19="Leave")),BN18,0)</f>
        <v>0</v>
      </c>
      <c r="CB18" s="93" t="n">
        <f aca="false">IF(AND(C18="Working - Legal Holiday on RD",OR(C19="Legal Holiday",C19="Special Holiday",C19="Working - Special Holiday on RD",C19="Normal",C19="Rest Day",C19="Special Holiday on RD",C19="Working - Rest Day",C19="Leave")),BN18,0)</f>
        <v>0</v>
      </c>
      <c r="CC18" s="93" t="n">
        <f aca="false">IF(AND(C18="Working - Special Holiday on RD",OR(C19="Legal Holiday",C19="Special Holiday",C19="Working - Legal Holiday on RD",C19="Normal",C19="Rest Day",C19="Leave",C19="Legal Holiday on RD")),BN18,0)</f>
        <v>0</v>
      </c>
      <c r="CD18" s="93" t="n">
        <f aca="false">IF(OR(C17="Special Holiday",C17="Working - Legal Holiday on RD",C17="Working - Special Holiday on RD",C17="Legal Holiday"),BN17,0)</f>
        <v>0</v>
      </c>
      <c r="CE18" s="93" t="n">
        <f aca="false">IF(AND(C18="Working - Rest Day",OR(C17="Special Holiday",C17="Working - Legal Holiday on RD",C17="Working - Special Holiday on RD",C17="Normal",C17="Legal Holiday")),BN17,0)</f>
        <v>0</v>
      </c>
      <c r="CF18" s="93" t="n">
        <f aca="false">IF(AND(OR(C18="Legal Holiday",C18="Legal Holiday on a Rest Day"),OR(C17="Special Holiday",C17="Working - Legal Holiday on RD",C17="Working - Special Holiday on RD",C17="Normal")),BN17,0)</f>
        <v>0</v>
      </c>
      <c r="CG18" s="93" t="n">
        <f aca="false">IF(AND(OR(C18="Special Holiday",C18="Special Holiday on RD"),OR(C17="Legal Holiday",C17="Working - Legal Holiday on RD",C17="Working - Special Holiday on RD",C17="Normal")),BN17,0)</f>
        <v>0</v>
      </c>
      <c r="CH18" s="93" t="n">
        <f aca="false">IF(AND(C18="Working - Legal Holiday on a RD",OR(C17="Legal Holiday",C17="Special Holiday",C17="Working - Special Holiday on RD",C17="Normal")),BN17,0)</f>
        <v>0</v>
      </c>
      <c r="CI18" s="93" t="n">
        <f aca="false">IF(AND(C18="Working - Special Holiday on RD",OR(C17="Legal Holiday",C17="Special Holiday",C17="Working - Legal Holiday on RD",C17="Normal")),BN17,0)</f>
        <v>0</v>
      </c>
      <c r="CJ18" s="93" t="n">
        <f aca="false">IF(OR(C19="Special Holiday",C19="Working - Legal Holiday on RD",C19="Working - Special Holiday on RD",C19="Legal Holiday",C19="Legal Holiday on RD",C19="Special Holiday on RD",),BP18,0)</f>
        <v>0</v>
      </c>
      <c r="CK18" s="93" t="n">
        <f aca="false">IF(AND(C18="Working - Rest Day",OR(C19="Special Holiday",C19="Working - Legal Holiday on RD",C19="Working - Special Holiday on RD",C19="Legal Holiday",C19="Legal Holiday on RD",C19="Special Holiday on RD",C19="Leave")),BP18,0)</f>
        <v>0</v>
      </c>
      <c r="CL18" s="93" t="n">
        <f aca="false">IF(AND(C18="Legal Holiday",OR(C19="Special Holiday",C19="Legal Holiday on RD",C19="Special Holiday on RD",C19="Normal",C19="Rest Day",C19="Working - Legal Holiday on RD",C19="Working - Special Holiday on RD",C19="Working - Rest Day",C19="Leave")),BP18,0)</f>
        <v>0</v>
      </c>
      <c r="CM18" s="93" t="n">
        <f aca="false">IF(AND(C18="Special Holiday",OR(C19="Legal Holiday",C19="Working - Legal Holiday on RD",C19="Working - Special Holiday on RD",C19="Normal",C19="Rest Day",C19="Legal Holiday on RD",C19="Special Holiday on RD",C19="Working - Rest Day",C19="Leave")),BP18,0)</f>
        <v>0</v>
      </c>
      <c r="CN18" s="93" t="n">
        <f aca="false">IF(AND(C18="Working - Legal Holiday on RD",OR(C19="Legal Holiday",C19="Special Holiday",C19="Working - Special Holiday on RD",C19="Normal",C19="Rest Day",C19="Special Holiday on RD",C19="Working - Rest Day",C19="Leave")),BP18,0)</f>
        <v>0</v>
      </c>
      <c r="CO18" s="93" t="n">
        <f aca="false">IF(AND(C18="Working - Special Holiday on RD",OR(C19="Legal Holiday",C19="Special Holiday",C19="Working - Legal Holiday on RD",C19="Normal",C19="Rest Day",C19="Leave",C19="Legal Holiday on RD")),BP18,0)</f>
        <v>0</v>
      </c>
      <c r="CP18" s="93" t="n">
        <f aca="false">IF(OR(C17="Special Holiday",C17="Working - Legal Holiday on RD",C17="Working - Special Holiday on RD",C17="Legal Holiday"),BP17,0)</f>
        <v>0</v>
      </c>
      <c r="CQ18" s="93" t="n">
        <f aca="false">IF(AND(C18="Working - Rest Day",OR(C17="Special Holiday",C17="Working - Legal Holiday on RD",C17="Working - Special Holiday on RD",C17="Normal",C17="Legal Holiday")),BP17,0)</f>
        <v>0</v>
      </c>
      <c r="CR18" s="93" t="n">
        <f aca="false">IF(AND(OR(C18="Legal Holiday",C18="Legal Holiday on a Rest Day"),OR(C17="Special Holiday",C17="Working - Legal Holiday on RD",C17="Working - Special Holiday on RD",C17="Normal")),BP17,0)</f>
        <v>0</v>
      </c>
      <c r="CS18" s="93" t="n">
        <f aca="false">IF(AND(OR(C18="Special Holiday",C18="Special Holiday on RD"),OR(C17="Legal Holiday",C17="Working - Legal Holiday on RD",C17="Working - Special Holiday on RD",C17="Normal")),BP17,0)</f>
        <v>0</v>
      </c>
      <c r="CT18" s="93" t="n">
        <f aca="false">IF(AND(C18="Working - Legal Holiday on a RD",OR(C17="Legal Holiday",C17="Special Holiday",C17="Working - Special Holiday on RD",C17="Normal")),BP17,0)</f>
        <v>0</v>
      </c>
      <c r="CU18" s="93" t="n">
        <f aca="false">IF(AND(C18="Working - Special Holiday on RD",OR(C17="Legal Holiday",C17="Special Holiday",C17="Working - Legal Holiday on RD",C17="Normal")),BP17,0)</f>
        <v>0</v>
      </c>
      <c r="CV18" s="93" t="n">
        <f aca="false">IF(OR(C19="Special Holiday",C19="Working - Legal Holiday on RD",C19="Working - Special Holiday on RD",C19="Legal Holiday",C19="Legal Holiday on RD",C19="Special Holiday on RD",),BQ18,0)</f>
        <v>0</v>
      </c>
      <c r="CW18" s="93" t="n">
        <f aca="false">IF(AND(C18="Working - Rest Day",OR(C19="Special Holiday",C19="Working - Legal Holiday on RD",C19="Working - Special Holiday on RD",C19="Legal Holiday",C19="Legal Holiday on RD",C19="Special Holiday on RD",C19="Leave")),BQ18,0)</f>
        <v>0</v>
      </c>
      <c r="CX18" s="93" t="n">
        <f aca="false">IF(AND(C18="Legal Holiday",OR(C19="Special Holiday",C19="Legal Holiday on RD",C19="Special Holiday on RD",C19="Normal",C19="Rest Day",C19="Working - Legal Holiday on RD",C19="Working - Special Holiday on RD",C19="Working - Rest Day",C19="Leave")),BQ18,0)</f>
        <v>0</v>
      </c>
      <c r="CY18" s="93" t="n">
        <f aca="false">IF(AND(C18="Special Holiday",OR(C19="Legal Holiday",C19="Working - Legal Holiday on RD",C19="Working - Special Holiday on RD",C19="Normal",C19="Rest Day",C19="Legal Holiday on RD",C19="Special Holiday on RD",C19="Working - Rest Day",C19="Leave")),BQ18,0)</f>
        <v>0</v>
      </c>
      <c r="CZ18" s="93" t="n">
        <f aca="false">IF(AND(C18="Working - Legal Holiday on RD",OR(C19="Legal Holiday",C19="Special Holiday",C19="Working - Special Holiday on RD",C19="Normal",C19="Rest Day",C19="Special Holiday on RD",C19="Working - Rest Day",C19="Leave")),BQ18,0)</f>
        <v>0</v>
      </c>
      <c r="DA18" s="93" t="n">
        <f aca="false">IF(AND(C18="Working - Special Holiday on RD",OR(C19="Legal Holiday",C19="Special Holiday",C19="Working - Legal Holiday on RD",C19="Normal",C19="Rest Day",C19="Leave",C19="Legal Holiday on RD")),BQ18,0)</f>
        <v>0</v>
      </c>
      <c r="DB18" s="93" t="n">
        <f aca="false">IF(OR(C17="Special Holiday",C17="Working - Legal Holiday on RD",C17="Working - Special Holiday on RD",C17="Legal Holiday"),BQ17,0)</f>
        <v>0</v>
      </c>
      <c r="DC18" s="93" t="n">
        <f aca="false">IF(AND(C18="Working - Rest Day",OR(C17="Special Holiday",C17="Working - Legal Holiday on RD",C17="Working - Special Holiday on RD",C17="Normal",C17="Legal Holiday")),BQ17,0)</f>
        <v>0</v>
      </c>
      <c r="DD18" s="93" t="n">
        <f aca="false">IF(AND(OR(C18="Legal Holiday",C18="Legal Holiday on a Rest Day"),OR(C17="Special Holiday",C17="Working - Legal Holiday on RD",C17="Working - Special Holiday on RD",C17="Normal")),BQ17,0)</f>
        <v>0</v>
      </c>
      <c r="DE18" s="93" t="n">
        <f aca="false">IF(AND(OR(C18="Special Holiday",C18="Special Holiday on RD"),OR(C17="Legal Holiday",C17="Working - Legal Holiday on RD",C17="Working - Special Holiday on RD",C17="Normal")),BQ17,0)</f>
        <v>0</v>
      </c>
      <c r="DF18" s="93" t="n">
        <f aca="false">IF(AND(C18="Working - Legal Holiday on a RD",OR(C17="Legal Holiday",C17="Special Holiday",C17="Working - Special Holiday on RD",C17="Normal")),BQ17,0)</f>
        <v>0</v>
      </c>
      <c r="DG18" s="93" t="n">
        <f aca="false">IF(AND(C18="Working - Special Holiday on RD",OR(C17="Legal Holiday",C17="Special Holiday",C17="Working - Legal Holiday on RD",C17="Normal")),BQ17,0)</f>
        <v>0</v>
      </c>
      <c r="DH18" s="93" t="n">
        <f aca="false">IF(OR(C19="Special Holiday",C19="Working - Legal Holiday on RD",C19="Working - Special Holiday on RD",C19="Legal Holiday",C19="Legal Holiday on RD",C19="Special Holiday on RD",),BO18,0)</f>
        <v>0</v>
      </c>
      <c r="DI18" s="93" t="n">
        <f aca="false">IF(AND(C18="Working - Rest Day",OR(C19="Special Holiday",C19="Working - Legal Holiday on RD",C19="Working - Special Holiday on RD",C19="Legal Holiday",C19="Legal Holiday on RD",C19="Special Holiday on RD",C19="Leave")),BO18,0)</f>
        <v>0</v>
      </c>
      <c r="DJ18" s="93" t="n">
        <f aca="false">IF(AND(C18="Legal Holiday",OR(C19="Special Holiday",C19="Legal Holiday on RD",C19="Special Holiday on RD",C19="Normal",C19="Rest Day",C19="Working - Legal Holiday on RD",C19="Working - Special Holiday on RD",C19="Working - Rest Day",C19="Leave")),BO18,0)</f>
        <v>0</v>
      </c>
      <c r="DK18" s="93" t="n">
        <f aca="false">IF(AND(C18="Special Holiday",OR(C19="Legal Holiday",C19="Working - Legal Holiday on RD",C19="Working - Special Holiday on RD",C19="Normal",C19="Rest Day",C19="Legal Holiday on RD",C19="Special Holiday on RD",C19="Working - Rest Day",C19="Leave")),BO18,0)</f>
        <v>0</v>
      </c>
      <c r="DL18" s="93" t="n">
        <f aca="false">IF(AND(C18="Working - Legal Holiday on RD",OR(C19="Legal Holiday",C19="Special Holiday",C19="Working - Special Holiday on RD",C19="Normal",C19="Rest Day",C19="Special Holiday on RD",C19="Working - Rest Day",C19="Leave")),BO18,0)</f>
        <v>0</v>
      </c>
      <c r="DM18" s="93" t="n">
        <f aca="false">IF(AND(C18="Working - Special Holiday on RD",OR(C19="Legal Holiday",C19="Special Holiday",C19="Working - Legal Holiday on RD",C19="Normal",C19="Rest Day",C19="Leave",C19="Legal Holiday on RD")),BO18,0)</f>
        <v>0</v>
      </c>
      <c r="DN18" s="93" t="n">
        <f aca="false">IF(OR(C17="Special Holiday",C17="Working - Legal Holiday on RD",C17="Working - Special Holiday on RD",C17="Legal Holiday"),BO17,0)</f>
        <v>0</v>
      </c>
      <c r="DO18" s="93" t="n">
        <f aca="false">IF(AND(C18="Working - Rest Day",OR(C17="Special Holiday",C17="Working - Legal Holiday on RD",C17="Working - Special Holiday on RD",C17="Normal",C17="Legal Holiday")),BO17,0)</f>
        <v>0</v>
      </c>
      <c r="DP18" s="93" t="n">
        <f aca="false">IF(AND(OR(C18="Legal Holiday",C18="Legal Holiday on a Rest Day"),OR(C17="Special Holiday",C17="Working - Legal Holiday on RD",C17="Working - Special Holiday on RD",C17="Normal")),BO17,0)</f>
        <v>0</v>
      </c>
      <c r="DQ18" s="93" t="n">
        <f aca="false">IF(AND(OR(C18="Special Holiday",C18="Special Holiday on RD"),OR(C17="Legal Holiday",C17="Working - Legal Holiday on RD",C17="Working - Special Holiday on RD",C17="Normal")),BO17,0)</f>
        <v>0</v>
      </c>
      <c r="DR18" s="93" t="n">
        <f aca="false">IF(AND(C18="Working - Legal Holiday on a RD",OR(C17="Legal Holiday",C17="Special Holiday",C17="Working - Special Holiday on RD",C17="Normal")),BO17,0)</f>
        <v>0</v>
      </c>
      <c r="DS18" s="93" t="n">
        <f aca="false">IF(AND(C18="Working - Special Holiday on RD",OR(C17="Legal Holiday",C17="Special Holiday",C17="Working - Legal Holiday on RD",C17="Normal")),BO17,0)</f>
        <v>0</v>
      </c>
    </row>
    <row r="19" s="6" customFormat="true" ht="14.25" hidden="false" customHeight="true" outlineLevel="0" collapsed="false">
      <c r="A19" s="79" t="n">
        <v>46194</v>
      </c>
      <c r="B19" s="80" t="str">
        <f aca="false">TEXT(WEEKDAY(A19),"ddd")</f>
        <v>Sun</v>
      </c>
      <c r="C19" s="81" t="s">
        <v>19</v>
      </c>
      <c r="D19" s="82"/>
      <c r="E19" s="79"/>
      <c r="F19" s="82"/>
      <c r="G19" s="82"/>
      <c r="H19" s="82"/>
      <c r="I19" s="83" t="n">
        <f aca="false">IFERROR(IF(N19="Strict",IF(C19="Normal",IFERROR(IF((HOUR(IF(AQ19&lt;=AR19,BB19-AR19,BB19-AQ19))+MINUTE(IF(AQ19&lt;=AR19,BB19-AR19,BB19-AQ19))/60)&gt;=6,HOUR(IF(AQ19&lt;=AR19,BB19-AR19,BB19-AQ19))+MINUTE(IF(AQ19&lt;=AR19,BB19-AR19,BB19-AQ19))/60-1,HOUR(IF(AQ19&lt;=AR19,BB19-AR19,BB19-AQ19))+MINUTE(IF(AQ19&lt;=AR19,BB19-AR19,BB19-AQ19))/60),0),0),IF(N19="Flexi",IF(C19="Normal",IF((HOUR(BB19-AR19)+MINUTE(BB19-AR19)/60)&gt;=6,(HOUR(BB19-AR19)+MINUTE(BB19-AR19)/60)-1,(HOUR(BB19-AR19)+MINUTE(BB19-AR19)/60)),0),0)),0)</f>
        <v>0</v>
      </c>
      <c r="J19" s="82"/>
      <c r="K19" s="79"/>
      <c r="L19" s="84"/>
      <c r="M19" s="79"/>
      <c r="N19" s="79"/>
      <c r="O19" s="85"/>
      <c r="P19" s="79"/>
      <c r="Q19" s="95"/>
      <c r="R19" s="87" t="n">
        <f aca="false">IF(AND(C19="Normal",I19&gt;0),(8-S19),0)-IF(AND(C19="Normal",OR(C20="Special Holiday",C20="Working - Legal Holiday on RD",C20="Working - Special Holiday on RD",C20="Legal Holiday",C20="Legal Holiday on RD",C20="Special Holiday on RD")),BN19,0)+IF(AND(OR(C19="Normal",C19="Leave",C19="Rest Day"),OR(C18="Special Holiday",C18="Working - Legal Holiday on RD",C18="Working - Special Holiday on RD",C18="Legal Holiday")),BN18,0)</f>
        <v>0</v>
      </c>
      <c r="S19" s="87" t="n">
        <f aca="false">IF(C19="Normal",IF(P19="Remain Lates",(IFERROR(IF(N19="Strict",IF(C19="Normal",IF(AQ19&lt;=AR19,HOUR(AR19-AQ19)+(MINUTE(AR19-AQ19)/60),0)+IF(BB19&lt;=BC19,HOUR(BC19-BB19)+(MINUTE(BC19-BB19)/60),0),0),IF(I19=0,0,(8-I19))),0)-(O19/60)),IF((O19/60)&gt;=IFERROR(IF(N19="Strict",IF(C19="Normal",IF(AQ19&lt;=AR19,HOUR(AR19-AQ19)+(MINUTE(AR19-AQ19)/60),0)+IF(BB19&lt;=BC19,HOUR(BC19-BB19)+(MINUTE(BC19-BB19)/60),0),0),IF(I19=0,0,(8-I19))),0),0,IFERROR(IF(N19="Strict",IF(C19="Normal",IF(AQ19&lt;=AR19,HOUR(AR19-AQ19)+(MINUTE(AR19-AQ19)/60),0)+IF(BB19&lt;=BC19,HOUR(BC19-BB19)+(MINUTE(BC19-BB19)/60),0),0),IF(I19=0,0,(8-I19))),0))),0)</f>
        <v>0</v>
      </c>
      <c r="T19" s="88" t="n">
        <f aca="false">IF(AND(C19="Working - Rest Day",BW19&gt;0),(8-IF(BV19&gt;6,BV19-1,BV19)),0)-IF(AND(C19="Working - Rest Day",OR(C20="Special Holiday",C20="Working - Legal Holiday on RD",C20="Working - Special Holiday on RD",C20="Legal Holiday",C20="Legal Holiday on RD",C20="Special Holiday on RD")),BN19,0)+IF(AND(C19="Working - Rest Day",OR(C18="Special Holiday",C18="Working - Legal Holiday on RD",C18="Working - Special Holiday on RD",C18="Legal Holiday")),BN18,0)</f>
        <v>0</v>
      </c>
      <c r="U19" s="88" t="n">
        <f aca="false">IF(AND(C19="Legal Holiday",BW19&gt;0),(8-IF(BV19&gt;6,BV19-1,BV19)),0)-IF(AND(C19="Legal Holiday",OR(C20="Special Holiday",C20="Legal Holiday on RD",C20="Special Holiday on RD",C20="Normal",C20="Rest Day",C20="Working - Legal Holiday on RD",C20="Working - Special Holiday on RD",C20="Working - Rest Day",C20="Leave")),BN19,0)+IF(AND(OR(C19="Legal Holiday",C19="Legal Holiday on RD"),OR(C18="Special Holiday",C18="Working - Legal Holiday on RD",C18="Working - Special Holiday on RD",C18="Normal",C18="Working - Rest Day")),BN18,0)</f>
        <v>0</v>
      </c>
      <c r="V19" s="88" t="n">
        <f aca="false">IF(AND(C19="Special Holiday",BW19&gt;0),(8-IF(BV19&gt;6,BV19-1,BV19)),0)-IF(AND(C19="Special Holiday",OR(C20="Legal Holiday",C20="Working - Legal Holiday on RD",C20="Working - Special Holiday on RD",C20="Normal",C20="Rest Day",C20="Legal Holiday on RD",C20="Special Holiday on RD",C20="Working - Rest Day",C20="Leave")),BN19,0)+IF(AND(OR(C19="Special Holiday",C19="Special Holiday on RD"),OR(C18="Legal Holiday",C18="Working - Legal Holiday on RD",C18="Working - Special Holiday on RD",C18="Working - Rest Day",C18="Normal")),BN18,0)</f>
        <v>0</v>
      </c>
      <c r="W19" s="88" t="n">
        <f aca="false">IF(AND(C19="Working - Legal Holiday on RD",BW19&gt;0),(8-IF(BV19&gt;6,BV19-1,BV19)),0)-IF(AND(C19="Working - Legal Holiday on RD",OR(C20="Legal Holiday",C20="Special Holiday",C20="Working - Special Holiday on RD",C20="Normal",C20="Rest Day",C20="Special Holiday on RD",C20="Working - Rest Day",C20="Leave")),BN19,0)+IF(AND(C19="Working - Legal Holiday on RD",OR(C18="Legal Holiday",C18="Special Holiday",C18="Working - Special Holiday on RD",C18="Working - Rest Day",C18="Normal")),BN18,0)</f>
        <v>0</v>
      </c>
      <c r="X19" s="88" t="n">
        <f aca="false">IF(AND(C19="Working - Special Holiday on RD",BW19&gt;0),(8-IF(BV19&gt;6,BV19-1,BV19)),0)-IF(AND(C19="Working - Special Holiday on RD",OR(C20="Legal Holiday",C20="Special Holiday",C20="Working - Legal Holiday on RD",C20="Normal",C20="Rest Day",C20="Leave",C20="Working - Rest Day",C20="Legal Holiday on RD")),BN19,0)+IF(AND(C19="Working - Special Holiday on RD",OR(C18="Legal Holiday",C18="Special Holiday",C18="Working - Legal Holiday on RD",C18="Normal",C18="Working - Rest Day")),BN18,0)</f>
        <v>0</v>
      </c>
      <c r="Y19" s="88" t="n">
        <f aca="false">IFERROR(IF(C19="Normal",HOUR(AY19-AV19)+MINUTE(AY19-AV19)/60,0),0)-IFERROR(IF(C19="Normal",HOUR(BA19-AX19)+MINUTE(BA19-AX19)/60,0),0)-IF(AND(C19="Normal",OR(C20="Special Holiday",C20="Working - Legal Holiday on RD",C20="Working - Special Holiday on RD",C20="Legal Holiday",C20="Legal Holiday on RD",C20="Special Holiday on RD")),BP19,0)+IF(AND(OR(C19="Normal",C19="Rest Day",C19="Leave"),OR(C18="Special Holiday",C18="Working - Legal Holiday on RD",C18="Working - Special Holiday on RD",C18="Legal Holiday")),BP18,0)</f>
        <v>0</v>
      </c>
      <c r="Z19" s="88" t="n">
        <f aca="false">IFERROR(IF(C19="Working - Rest Day",HOUR(AY19-AV19)+MINUTE(AY19-AV19)/60,0),0)-IFERROR(IF(C19="Working - Rest Day",HOUR(BA19-AX19)+MINUTE(BA19-AX19)/60,0),0)-IF(AND(C19="Working - Rest Day",OR(C20="Special Holiday",C20="Working - Legal Holiday on RD",C20="Working - Special Holiday on RD",C20="Legal Holiday",C20="Legal Holiday on RD",C20="Special Holiday on RD")),BP19,0)+IF(AND(C19="Working - Rest Day",OR(C18="Special Holiday",C18="Working - Legal Holiday on RD",C18="Working - Special Holiday on RD",C18="Legal Holiday")),BP18,0)</f>
        <v>0</v>
      </c>
      <c r="AA19" s="88" t="n">
        <f aca="false">IFERROR(IF(C19="Legal Holiday",HOUR(AY19-AV19)+MINUTE(AY19-AV19)/60,0),0)-IFERROR(IF(C19="Legal Holiday",HOUR(BA19-AX19)+MINUTE(BA19-AX19)/60,0),0)-IF(AND(C19="Legal Holiday",OR(C20="Special Holiday",C20="Legal Holiday on RD",C20="Special Holiday on RD",C20="Normal",C20="Rest Day",C20="Working - Legal Holiday on RD",C20="Working - Special Holiday on RD",C20="Working - Rest Day",C20="Leave")),BP19,0)+IF(AND(OR(C19="Legal Holiday",C19="Legal Holiday on RD"),OR(C18="Special Holiday",C18="Working - Legal Holiday on RD",C18="Working - Special Holiday on RD",C18="Normal",C18="Working - Rest Day")),BP18,0)</f>
        <v>0</v>
      </c>
      <c r="AB19" s="88" t="n">
        <f aca="false">IFERROR(IF(C19="Special Holiday",HOUR(AY19-AV19)+MINUTE(AY19-AV19)/60,0),0)-IFERROR(IF(C19="Special Holiday",HOUR(BA19-AX19)+MINUTE(BA19-AX19)/60,0),0)-IF(AND(C19="Special Holiday",OR(C20="Legal Holiday",C20="Working - Legal Holiday on RD",C20="Working - Special Holiday on RD",C20="Normal",C20="Rest Day",C20="Legal Holiday on RD",C20="Special Holiday on RD",C20="Working - Rest Day",C20="Leave")),BP19,0)+IF(AND(OR(C19="Special Holiday",C19="Special Holiday on RD"),OR(C18="Legal Holiday",C18="Working - Legal Holiday on RD",C18="Working - Special Holiday on RD",C18="Normal",C18="Working - Rest Day")),BP18,0)</f>
        <v>0</v>
      </c>
      <c r="AC19" s="88" t="n">
        <f aca="false">IFERROR(IF(C19="Working - Legal Holiday on RD",HOUR(AY19-AV19)+MINUTE(AY19-AV19)/60,0),0)-IFERROR(IF(C19="Working - Legal Holiday on RD",HOUR(BA19-AX19)+MINUTE(BA19-AX19)/60,0),0)-IF(AND(C19="Working - Legal Holiday on RD",OR(C20="Legal Holiday",C20="Special Holiday",C20="Working - Special Holiday on RD",C20="Normal",C20="Rest Day",C20="Special Holiday on RD",C20="Working - Rest Day",C20="Leave")),BP19,0)+IF(AND(C19="Working - Legal Holiday on RD",OR(C18="Legal Holiday",C18="Special Holiday",C18="Working - Special Holiday on RD",C18="Normal",C18="Working - Rest Day")),BP18,0)</f>
        <v>0</v>
      </c>
      <c r="AD19" s="88" t="n">
        <f aca="false">IFERROR(IF(C19="Working - Special Holiday on RD",HOUR(AY19-AV19)+MINUTE(AY19-AV19)/60,0),0)-IFERROR(IF(C19="Working - Special Holiday on RD",HOUR(BA19-AX19)+MINUTE(BA19-AX19)/60,0),0)-IF(AND(C19="Working - Special Holiday on RD",OR(C20="Legal Holiday",C20="Special Holiday",C20="Working - Legal Holiday on RD",C20="Normal",C20="Rest Day",C20="Working - Rest Day",C20="Leave",C20="Legal Holiday on RD")),BP19,0)+IF(AND(C19="Working - Special Holiday on RD",OR(C18="Legal Holiday",C18="Special Holiday",C18="Working - Legal Holiday on RD",C18="Normal",C18="Working - Rest Day")),BP18,0)</f>
        <v>0</v>
      </c>
      <c r="AE19" s="88" t="n">
        <f aca="false">IFERROR(IF(C19="Normal",HOUR(BA19-AX19)+MINUTE(BA19-AX19)/60,0),0)-IF(AND(C19="Normal",OR(C20="Special Holiday",C20="Working - Legal Holiday on RD",C20="Working - Special Holiday on RD",C20="Legal Holiday",C20="Legal Holiday on RD",C20="Special Holiday on RD")),BQ19,0)+IF(AND(OR(C19="Normal",C19="Rest Day",C19="Leave"),OR(C18="Special Holiday",C18="Working - Legal Holiday on RD",C18="Working - Special Holiday on RD",C18="Legal Holiday")),BQ18,0)</f>
        <v>0</v>
      </c>
      <c r="AF19" s="88" t="n">
        <f aca="false">IFERROR(IF(C19="Working - Rest Day",HOUR(BA19-AX19)+MINUTE(BA19-AX19)/60,0),0)-IF(AND(C19="Working - Rest Day",OR(C20="Special Holiday",C20="Working - Legal Holiday on RD",C20="Working - Special Holiday on RD",C20="Legal Holiday",C20="Legal Holiday on RD",C20="Special Holiday on RD")),BQ19,0)+IF(AND(C19="Working - Rest Day",OR(C18="Special Holiday",C18="Working - Legal Holiday on RD",C18="Working - Special Holiday on RD",C18="Legal Holiday")),BQ18,0)</f>
        <v>0</v>
      </c>
      <c r="AG19" s="88" t="n">
        <f aca="false">IFERROR(IF(C19="Legal Holiday",HOUR(BA19-AX19)+MINUTE(BA19-AX19)/60,0),0)-IF(AND(C19="Legal Holiday",OR(C20="Special Holiday",C20="Legal Holiday on RD",C20="Special Holiday on RD",C20="Normal",C20="Rest Day",C20="Working - Legal Holiday on RD",C20="Working - Special Holiday on RD",C20="Working - Rest Day",C20="Leave")),BQ19,0)+IF(AND(OR(C19="Legal Holiday",C19="Legal Holiday on RD"),OR(C18="Special Holiday",C18="Working - Legal Holiday on RD",C18="Working - Special Holiday on RD",C18="Normal",C18="Working - Rest Day")),BQ18,0)</f>
        <v>0</v>
      </c>
      <c r="AH19" s="88" t="n">
        <f aca="false">IFERROR(IF(C19="Special Holiday",HOUR(BA19-AX19)+MINUTE(BA19-AX19)/60,0),0)-IF(AND(C19="Special Holiday",OR(C20="Legal Holiday",C20="Working - Legal Holiday on RD",C20="Working - Special Holiday on RD",C20="Normal",C20="Rest Day",C20="Legal Holiday on RD",C20="Special Holiday on RD",C20="Working - Rest Day",C20="Leave")),BQ19,0)+IF(AND(OR(C19="Special Holiday",C19="Special Holiday on RD"),OR(C18="Legal Holiday",C18="Working - Legal Holiday on RD",C18="Working - Special Holiday on RD",C18="Normal",C18="Working - Rest Day")),BQ18,0)</f>
        <v>0</v>
      </c>
      <c r="AI19" s="88" t="n">
        <f aca="false">IFERROR(IF(C19="Working - Legal Holiday on RD",HOUR(BA19-AX19)+MINUTE(BA19-AX19)/60,0),0)-IF(AND(C19="Working - Legal Holiday on RD",OR(C20="Legal Holiday",C20="Special Holiday",C20="Working - Special Holiday on RD",C20="Normal",C20="Rest Day",C20="Special Holiday on RD",C20="Working - Rest Day",C20="Leave")),BQ19,0)+IF(AND(C19="Working - Legal Holiday on RD",OR(C18="Legal Holiday",C18="Special Holiday",C18="Working - Special Holiday on RD",C18="Normal",C18="Working - Rest Day")),BQ18,0)</f>
        <v>0</v>
      </c>
      <c r="AJ19" s="88" t="n">
        <f aca="false">IFERROR(IF(C19="Working - Special Holiday on RD",HOUR(BA19-AX19)+MINUTE(BA19-AX19)/60,0),0)-IF(AND(C19="Working - Special Holiday on RD",OR(C20="Legal Holiday",C20="Special Holiday",C20="Working - Legal Holiday on RD",C20="Normal",C20="Rest Day",C20="Working - Rest Day",C20="Leave",C20="Legal Holiday on RD")),BQ19,0)+IF(AND(C19="Working - Special Holiday on RD",OR(C18="Legal Holiday",C18="Special Holiday",C18="Working - Legal Holiday on RD",C18="Normal",C18="Working - Rest Day")),BQ18,0)</f>
        <v>0</v>
      </c>
      <c r="AK19" s="88" t="n">
        <f aca="false">IFERROR(IF(C19="Normal",HOUR(BF19-AU19)+(MINUTE(BF19-AU19)/60),0),0)-IF(AND(C19="Normal",OR(C20="Special Holiday",C20="Working - Legal Holiday on RD",C20="Working - Special Holiday on RD",C20="Legal Holiday",C20="Legal Holiday on RD",C20="Special Holiday on RD")),BO19,0)+IF(AND(OR(C19="Normal",C19="Rest Day",C19="Leave"),OR(C18="Special Holiday",C18="Working - Legal Holiday on RD",C18="Working - Special Holiday on RD",C18="Legal Holiday")),BO18,0)</f>
        <v>0</v>
      </c>
      <c r="AL19" s="88" t="n">
        <f aca="false">IFERROR(IF(C19="Working - Rest Day",HOUR(BF19-AU19)+(MINUTE(BF19-AU19)/60),0),0)-IF(AND(C19="Working - Rest Day",OR(C20="Special Holiday",C20="Working - Legal Holiday on RD",C20="Working - Special Holiday on RD",C20="Legal Holiday",C20="Legal Holiday on RD",C20="Special Holiday on RD")),BO19,0)+IF(AND(C19="Working - Rest Day",OR(C18="Special Holiday",C18="Working - Legal Holiday on RD",C18="Working - Special Holiday on RD",C18="Legal Holiday")),BO18,0)</f>
        <v>0</v>
      </c>
      <c r="AM19" s="88" t="n">
        <f aca="false">IFERROR(IF(C19="Legal Holiday",HOUR(BF19-AU19)+(MINUTE(BF19-AU19)/60),0),0)-IF(AND(C19="Legal Holiday",OR(C20="Special Holiday",C20="Legal Holiday on RD",C20="Special Holiday on RD",C20="Normal",C20="Rest Day",C20="Working - Legal Holiday on RD",C20="Working - Special Holiday on RD",C20="Working - Rest Day",C20="Leave")),BO19,0)+IF(AND(OR(C19="Legal Holiday",C19="Legal Holiday on RD"),OR(C18="Special Holiday",C18="Working - Legal Holiday on RD",C18="Working - Special Holiday on RD",C18="Normal",C18="Working - Rest Day")),BO18,0)</f>
        <v>0</v>
      </c>
      <c r="AN19" s="88" t="n">
        <f aca="false">IFERROR(IF(C19="Special Holiday",HOUR(BF19-AU19)+(MINUTE(BF19-AU19)/60),0),0)-IF(AND(C19="Special Holiday",OR(C20="Legal Holiday",C20="Working - Legal Holiday on RD",C20="Working - Special Holiday on RD",C20="Normal",C20="Rest Day",C20="Legal Holiday on RD",C20="Special Holiday on RD",C20="Working - Rest Day",C20="Leave")),BO19,0)+IF(AND(OR(C19="Special Holiday",C19="Special Holiday on RD"),OR(C18="Legal Holiday",C18="Working - Legal Holiday on RD",C18="Working - Special Holiday on RD",C18="Normal",C18="Working - Rest Day")),BO18,0)</f>
        <v>0</v>
      </c>
      <c r="AO19" s="88" t="n">
        <f aca="false">IFERROR(IF(C19="Working - Legal Holiday on RD",HOUR(BF19-AU19)+(MINUTE(BF19-AU19)/60),0),0)-IF(AND(C19="Working - Legal Holiday on RD",OR(C20="Legal Holiday",C20="Special Holiday",C20="Working - Special Holiday on RD",C20="Normal",C20="Rest Day",C20="Special Holiday on RD",C20="Working - Rest Day",C20="Leave")),BO19,0)+IF(AND(C19="Working - Legal Holiday on RD",OR(C18="Legal Holiday",C18="Special Holiday",C18="Working - Special Holiday on RD",C18="Normal",C18="Working - Rest Day")),BO18,0)</f>
        <v>0</v>
      </c>
      <c r="AP19" s="88" t="n">
        <f aca="false">IFERROR(IF(C19="Working - Special Holiday on RD",HOUR(BF19-AU19)+(MINUTE(BF19-AU19)/60),0),0)-IF(AND(C19="Working - Special Holiday on RD",OR(C20="Legal Holiday",C20="Special Holiday",C20="Working - Legal Holiday on RD",C20="Normal",C20="Rest Day",C20="Working - Rest Day",C20="Leave",C20="Legal Holiday on RD")),BO19,0)+IF(AND(C19="Working - Special Holiday on RD",OR(C18="Legal Holiday",C18="Special Holiday",C18="Working - Legal Holiday on RD",C18="Normal",C18="Working - Rest Day")),BO18,0)</f>
        <v>0</v>
      </c>
      <c r="AQ19" s="89" t="str">
        <f aca="false">TEXT(D19,"HH:MM")&amp;" "&amp;TEXT(A19,"DD-mmm-YY")</f>
        <v>00:00 21-Jun-26</v>
      </c>
      <c r="AR19" s="89" t="str">
        <f aca="false">TEXT(G19,"HH:MM")&amp;" "&amp;TEXT(A19,"DD-mmm-YY")</f>
        <v>00:00 21-Jun-26</v>
      </c>
      <c r="AS19" s="60" t="str">
        <f aca="false">IF($AR$1&lt;D19,AR19,IF(AT19&lt;=AR19,AR19,AT19))</f>
        <v>22:00 20-Jun-26</v>
      </c>
      <c r="AT19" s="60" t="str">
        <f aca="false">IF(AND(D19&gt;=0,D19&lt;0.25),TEXT($AR$1,"HH:MM")&amp;" "&amp;TEXT((A19-1),"dd-mmm-yy"),TEXT($AR$1,"HH:MM")&amp;" "&amp;TEXT(A19,"dd-mmm-yy"))</f>
        <v>22:00 20-Jun-26</v>
      </c>
      <c r="AU19" s="40" t="e">
        <f aca="false" t="array" ref="AU19:AU19">MAX(AQ19:AS19+0)</f>
        <v>#VALUE!</v>
      </c>
      <c r="AV19" s="60" t="str">
        <f aca="false">TEXT(J19,"HH:MM")&amp;" "&amp;TEXT(K19,"DD-mmm-YY")</f>
        <v>00:00 00-Jan-00</v>
      </c>
      <c r="AW19" s="60" t="str">
        <f aca="false">IF(K19&lt;A19,TEXT($AR$1,"HH:MM")&amp;" "&amp;TEXT((A19-1),"dd-mmm-yy"),IF(AND(D19&gt;0,D19&lt;0.25,L19&lt;0.916666666666667,A19&lt;M19),TEXT($AR$1,"HH:MM")&amp;" "&amp;TEXT((A19-1),"dd-mmm-yy"),TEXT($AR$1,"HH:MM")&amp;" "&amp;TEXT(A19,"dd-mmm-yy")))</f>
        <v>22:00 20-Jun-26</v>
      </c>
      <c r="AX19" s="40" t="e">
        <f aca="false" t="array" ref="AX19:AX19">MAX(AV19:AW19+0)</f>
        <v>#VALUE!</v>
      </c>
      <c r="AY19" s="60" t="str">
        <f aca="false">TEXT(L19,"HH:MM")&amp;" "&amp;TEXT(M19,"DD-mmm-YY")</f>
        <v>00:00 00-Jan-00</v>
      </c>
      <c r="AZ19" s="60" t="str">
        <f aca="false">IF(AND(D19&gt;=0,D19&lt;0.25,L19&lt;0.916666666666667,A19&gt;M19),TEXT($AR$2,"HH:MM")&amp;" "&amp;TEXT(A19,"DD-mmm-YY"),TEXT($AR$2,"HH:MM")&amp;" "&amp;TEXT((A19+1),"DD-mmm-YY"))</f>
        <v>06:00 21-Jun-26</v>
      </c>
      <c r="BA19" s="40" t="e">
        <f aca="false" t="array" ref="BA19:BA19">MIN(AY19:AZ19+0)</f>
        <v>#VALUE!</v>
      </c>
      <c r="BB19" s="60" t="str">
        <f aca="false">IF(G19&gt;H19,TEXT(H19,"HH:MM")&amp;" "&amp;TEXT(E19,"DD-mmm-YY"),IF(H19&gt;1,TEXT(H19,"HH:MM")&amp;" "&amp;TEXT(E19,"DD-mmm-YY"),TEXT(H19,"HH:MM")&amp;" "&amp;TEXT(A19,"DD-mmm-YY")))</f>
        <v>00:00 21-Jun-26</v>
      </c>
      <c r="BC19" s="60" t="str">
        <f aca="false">IF(N19="Flexi",TEXT(G19+$BC$1,"HH:MM")&amp;" "&amp;TEXT(E19,"DD-mmm-YY"),TEXT(F19,"HH:MM")&amp;" "&amp;TEXT(E19,"DD-mmm-YY"))</f>
        <v>00:00 30-Dec-99</v>
      </c>
      <c r="BD19" s="90" t="e">
        <f aca="false" t="array" ref="BD19:BD19">MIN(BB19:BC19+0)</f>
        <v>#VALUE!</v>
      </c>
      <c r="BE19" s="60" t="str">
        <f aca="false">IF(D19&gt;0.25,TEXT($AR$2,"HH:MM")&amp;" "&amp;TEXT(IF(BG19&lt;H19,A19+1,E19),"DD-mmm-YY"),IF(D19&gt;=0,TEXT($AR$2,"HH:MM")&amp;" "&amp;TEXT(IF(BG19&lt;H19,A19+1,E19)-1,"DD-mmm-YY"),TEXT($AR$2,"HH:MM")&amp;" "&amp;TEXT(IF(BG19&lt;H19,A19+1,E19),"DD-mmm-YY")))</f>
        <v>06:00 29-Dec-99</v>
      </c>
      <c r="BF19" s="40" t="e">
        <f aca="false" t="array" ref="BF19:BF19">IF(N19="Flexi",IF(AND(BB19&gt;BC19,BB19&lt;BE19),BB19,MIN(BB19:BE19+0)),MIN(BB19:BE19+0))</f>
        <v>#VALUE!</v>
      </c>
      <c r="BG19" s="7" t="n">
        <v>0</v>
      </c>
      <c r="BH19" s="9" t="str">
        <f aca="false">TEXT(BG19,"HH:MM")&amp;" "&amp;TEXT(A19+1,"DD-mmm-YY")</f>
        <v>00:00 22-Jun-26</v>
      </c>
      <c r="BI19" s="9" t="str">
        <f aca="false">AV19</f>
        <v>00:00 00-Jan-00</v>
      </c>
      <c r="BJ19" s="91" t="e">
        <f aca="false" t="array" ref="BJ19:BJ19">MAX(BH19:BI19+0)</f>
        <v>#VALUE!</v>
      </c>
      <c r="BK19" s="9" t="str">
        <f aca="false">TEXT($AR$2,"HH:MM")&amp;" "&amp;TEXT(A19+1,"DD-mmm-YY")</f>
        <v>06:00 22-Jun-26</v>
      </c>
      <c r="BL19" s="9" t="str">
        <f aca="false">AY19</f>
        <v>00:00 00-Jan-00</v>
      </c>
      <c r="BM19" s="91" t="e">
        <f aca="false" t="array" ref="BM19:BM19">MIN(BK19:BL19+0)</f>
        <v>#VALUE!</v>
      </c>
      <c r="BN19" s="13" t="n">
        <f aca="false">IF(IFERROR(IF(E19&gt;A19,IF(BD19&gt;=BD19,HOUR(BD19-BH19)+MINUTE(BD19-BH19)/60,0),0),0)&gt;5,(IFERROR(IF(E19&gt;A19,IF(BD19&gt;=BD19,HOUR(BD19-BH19)+MINUTE(BD19-BH19)/60,0),0),0)-1),IFERROR(IF(E19&gt;A19,IF(BD19&gt;=BD19,HOUR(BD19-BH19)+MINUTE(BD19-BH19)/60,0),0),0))</f>
        <v>0</v>
      </c>
      <c r="BO19" s="13" t="n">
        <f aca="false">IFERROR(IF(E19&gt;A19,HOUR(BF19-BH19)+MINUTE(BF19-BH19)/60,0),0)</f>
        <v>0</v>
      </c>
      <c r="BP19" s="92" t="n">
        <f aca="false">IF(AND(A19&lt;M19,L19&gt;0.25,L19&lt;=0.916666666666667,J19&gt;=0.25),IFERROR(HOUR(AY19-AV19)+MINUTE(AY19-AV19)/60,0),IFERROR(HOUR(AY19-BK19)+MINUTE(AY19-BK19)/60,0))</f>
        <v>0</v>
      </c>
      <c r="BQ19" s="13" t="n">
        <f aca="false">IFERROR(HOUR(BM19-BJ19)+MINUTE(BM19-BJ19)/60,0)</f>
        <v>0</v>
      </c>
      <c r="BR19" s="13" t="n">
        <f aca="false">IF(AND(C19=C19,BW19&gt;0),(8-BV19),0)-BN19</f>
        <v>0</v>
      </c>
      <c r="BS19" s="13" t="n">
        <f aca="false">IFERROR(IF(C19=C19,HOUR(BF19-AU19)+(MINUTE(BF19-AU19)/60),0),0)-BO19</f>
        <v>0</v>
      </c>
      <c r="BT19" s="92" t="n">
        <f aca="false">IFERROR(IF(C19=C19,HOUR(AY19-AV19)+MINUTE(AY19-AV19)/60,0),0)-IFERROR(IF(C19=C19,HOUR(BA19-AX19)+MINUTE(BA19-AX19)/60,0),0)-BP19</f>
        <v>0</v>
      </c>
      <c r="BU19" s="13" t="n">
        <f aca="false">IFERROR(IF(C19=C19,HOUR(BA19-AX19)+MINUTE(BA19-AX19)/60,0),0)-BQ19</f>
        <v>0</v>
      </c>
      <c r="BV19" s="13" t="n">
        <f aca="false">IF(C19=C19,IF(P19="Remain Lates",(IFERROR(IF(N19="Strict",IF(C19=C19,IF(AQ19&lt;=AR19,HOUR(AR19-AQ19)+(MINUTE(AR19-AQ19)/60),0)+IF(BB19&lt;=BC19,HOUR(BC19-BB19)+(MINUTE(BC19-BB19)/60),0),0),IF(BW19=0,0,(8-BW19))),0)-(O19/60)),IF((O19/60)&gt;=IFERROR(IF(N19="Strict",IF(C19=C19,IF(AQ19&lt;=AR19,HOUR(AR19-AQ19)+(MINUTE(AR19-AQ19)/60),0)+IF(BB19&lt;=BC19,HOUR(BC19-BB19)+(MINUTE(BC19-BB19)/60),0),0),IF(BW19=0,0,(8-BW19))),0),0,IFERROR(IF(N19="Strict",IF(C19=C19,IF(AQ19&lt;=AR19,HOUR(AR19-AQ19)+(MINUTE(AR19-AQ19)/60),0)+IF(BB19&lt;=BC19,HOUR(BC19-BB19)+(MINUTE(BC19-BB19)/60),0),0),IF(BW19=0,0,(8-BW19))),0))),0)</f>
        <v>0</v>
      </c>
      <c r="BW19" s="13" t="n">
        <f aca="false">IFERROR(IF(N19="Strict",IF(C19=C19,IFERROR(IF((HOUR(IF(AQ19&lt;=AR19,BB19-AR19,BB19-AQ19))+MINUTE(IF(AQ19&lt;=AR19,BB19-AR19,BB19-AQ19))/60)&gt;=6,HOUR(IF(AQ19&lt;=AR19,BB19-AR19,BB19-AQ19))+MINUTE(IF(AQ19&lt;=AR19,BB19-AR19,BB19-AQ19))/60-1,HOUR(IF(AQ19&lt;=AR19,BB19-AR19,BB19-AQ19))+MINUTE(IF(AQ19&lt;=AR19,BB19-AR19,BB19-AQ19))/60),0),0),IF(N19="Flexi",IF(C19=C19,IF((HOUR(BB19-AR19)+MINUTE(BB19-AR19)/60)&gt;=6,(HOUR(BB19-AR19)+MINUTE(BB19-AR19)/60)-1,(HOUR(BB19-AR19)+MINUTE(BB19-AR19)/60)),0),0)),0)</f>
        <v>0</v>
      </c>
      <c r="BX19" s="93" t="n">
        <f aca="false">IF(OR(C20="Special Holiday",C20="Working - Legal Holiday on RD",C20="Working - Special Holiday on RD",C20="Legal Holiday",C20="Legal Holiday on RD",C20="Special Holiday on RD",),BN19,0)</f>
        <v>0</v>
      </c>
      <c r="BY19" s="93" t="n">
        <f aca="false">IF(AND(C19="Working - Rest Day",OR(C20="Special Holiday",C20="Working - Legal Holiday on RD",C20="Working - Special Holiday on RD",C20="Legal Holiday",C20="Legal Holiday on RD",C20="Special Holiday on RD",C20="Leave")),BN19,0)</f>
        <v>0</v>
      </c>
      <c r="BZ19" s="93" t="n">
        <f aca="false">IF(AND(C19="Legal Holiday",OR(C20="Special Holiday",C20="Legal Holiday on RD",C20="Special Holiday on RD",C20="Normal",C20="Rest Day",C20="Working - Legal Holiday on RD",C20="Working - Special Holiday on RD",C20="Working - Rest Day",C20="Leave")),BN19,0)</f>
        <v>0</v>
      </c>
      <c r="CA19" s="93" t="n">
        <f aca="false">IF(AND(C19="Special Holiday",OR(C20="Legal Holiday",C20="Working - Legal Holiday on RD",C20="Working - Special Holiday on RD",C20="Normal",C20="Rest Day",C20="Legal Holiday on RD",C20="Special Holiday on RD",C20="Working - Rest Day",C20="Leave")),BN19,0)</f>
        <v>0</v>
      </c>
      <c r="CB19" s="93" t="n">
        <f aca="false">IF(AND(C19="Working - Legal Holiday on RD",OR(C20="Legal Holiday",C20="Special Holiday",C20="Working - Special Holiday on RD",C20="Normal",C20="Rest Day",C20="Special Holiday on RD",C20="Working - Rest Day",C20="Leave")),BN19,0)</f>
        <v>0</v>
      </c>
      <c r="CC19" s="93" t="n">
        <f aca="false">IF(AND(C19="Working - Special Holiday on RD",OR(C20="Legal Holiday",C20="Special Holiday",C20="Working - Legal Holiday on RD",C20="Normal",C20="Rest Day",C20="Leave",C20="Legal Holiday on RD")),BN19,0)</f>
        <v>0</v>
      </c>
      <c r="CD19" s="93" t="n">
        <f aca="false">IF(OR(C18="Special Holiday",C18="Working - Legal Holiday on RD",C18="Working - Special Holiday on RD",C18="Legal Holiday"),BN18,0)</f>
        <v>0</v>
      </c>
      <c r="CE19" s="93" t="n">
        <f aca="false">IF(AND(C19="Working - Rest Day",OR(C18="Special Holiday",C18="Working - Legal Holiday on RD",C18="Working - Special Holiday on RD",C18="Normal",C18="Legal Holiday")),BN18,0)</f>
        <v>0</v>
      </c>
      <c r="CF19" s="93" t="n">
        <f aca="false">IF(AND(OR(C19="Legal Holiday",C19="Legal Holiday on a Rest Day"),OR(C18="Special Holiday",C18="Working - Legal Holiday on RD",C18="Working - Special Holiday on RD",C18="Normal")),BN18,0)</f>
        <v>0</v>
      </c>
      <c r="CG19" s="93" t="n">
        <f aca="false">IF(AND(OR(C19="Special Holiday",C19="Special Holiday on RD"),OR(C18="Legal Holiday",C18="Working - Legal Holiday on RD",C18="Working - Special Holiday on RD",C18="Normal")),BN18,0)</f>
        <v>0</v>
      </c>
      <c r="CH19" s="93" t="n">
        <f aca="false">IF(AND(C19="Working - Legal Holiday on a RD",OR(C18="Legal Holiday",C18="Special Holiday",C18="Working - Special Holiday on RD",C18="Normal")),BN18,0)</f>
        <v>0</v>
      </c>
      <c r="CI19" s="93" t="n">
        <f aca="false">IF(AND(C19="Working - Special Holiday on RD",OR(C18="Legal Holiday",C18="Special Holiday",C18="Working - Legal Holiday on RD",C18="Normal")),BN18,0)</f>
        <v>0</v>
      </c>
      <c r="CJ19" s="93" t="n">
        <f aca="false">IF(OR(C20="Special Holiday",C20="Working - Legal Holiday on RD",C20="Working - Special Holiday on RD",C20="Legal Holiday",C20="Legal Holiday on RD",C20="Special Holiday on RD",),BP19,0)</f>
        <v>0</v>
      </c>
      <c r="CK19" s="93" t="n">
        <f aca="false">IF(AND(C19="Working - Rest Day",OR(C20="Special Holiday",C20="Working - Legal Holiday on RD",C20="Working - Special Holiday on RD",C20="Legal Holiday",C20="Legal Holiday on RD",C20="Special Holiday on RD",C20="Leave")),BP19,0)</f>
        <v>0</v>
      </c>
      <c r="CL19" s="93" t="n">
        <f aca="false">IF(AND(C19="Legal Holiday",OR(C20="Special Holiday",C20="Legal Holiday on RD",C20="Special Holiday on RD",C20="Normal",C20="Rest Day",C20="Working - Legal Holiday on RD",C20="Working - Special Holiday on RD",C20="Working - Rest Day",C20="Leave")),BP19,0)</f>
        <v>0</v>
      </c>
      <c r="CM19" s="93" t="n">
        <f aca="false">IF(AND(C19="Special Holiday",OR(C20="Legal Holiday",C20="Working - Legal Holiday on RD",C20="Working - Special Holiday on RD",C20="Normal",C20="Rest Day",C20="Legal Holiday on RD",C20="Special Holiday on RD",C20="Working - Rest Day",C20="Leave")),BP19,0)</f>
        <v>0</v>
      </c>
      <c r="CN19" s="93" t="n">
        <f aca="false">IF(AND(C19="Working - Legal Holiday on RD",OR(C20="Legal Holiday",C20="Special Holiday",C20="Working - Special Holiday on RD",C20="Normal",C20="Rest Day",C20="Special Holiday on RD",C20="Working - Rest Day",C20="Leave")),BP19,0)</f>
        <v>0</v>
      </c>
      <c r="CO19" s="93" t="n">
        <f aca="false">IF(AND(C19="Working - Special Holiday on RD",OR(C20="Legal Holiday",C20="Special Holiday",C20="Working - Legal Holiday on RD",C20="Normal",C20="Rest Day",C20="Leave",C20="Legal Holiday on RD")),BP19,0)</f>
        <v>0</v>
      </c>
      <c r="CP19" s="93" t="n">
        <f aca="false">IF(OR(C18="Special Holiday",C18="Working - Legal Holiday on RD",C18="Working - Special Holiday on RD",C18="Legal Holiday"),BP18,0)</f>
        <v>0</v>
      </c>
      <c r="CQ19" s="93" t="n">
        <f aca="false">IF(AND(C19="Working - Rest Day",OR(C18="Special Holiday",C18="Working - Legal Holiday on RD",C18="Working - Special Holiday on RD",C18="Normal",C18="Legal Holiday")),BP18,0)</f>
        <v>0</v>
      </c>
      <c r="CR19" s="93" t="n">
        <f aca="false">IF(AND(OR(C19="Legal Holiday",C19="Legal Holiday on a Rest Day"),OR(C18="Special Holiday",C18="Working - Legal Holiday on RD",C18="Working - Special Holiday on RD",C18="Normal")),BP18,0)</f>
        <v>0</v>
      </c>
      <c r="CS19" s="93" t="n">
        <f aca="false">IF(AND(OR(C19="Special Holiday",C19="Special Holiday on RD"),OR(C18="Legal Holiday",C18="Working - Legal Holiday on RD",C18="Working - Special Holiday on RD",C18="Normal")),BP18,0)</f>
        <v>0</v>
      </c>
      <c r="CT19" s="93" t="n">
        <f aca="false">IF(AND(C19="Working - Legal Holiday on a RD",OR(C18="Legal Holiday",C18="Special Holiday",C18="Working - Special Holiday on RD",C18="Normal")),BP18,0)</f>
        <v>0</v>
      </c>
      <c r="CU19" s="93" t="n">
        <f aca="false">IF(AND(C19="Working - Special Holiday on RD",OR(C18="Legal Holiday",C18="Special Holiday",C18="Working - Legal Holiday on RD",C18="Normal")),BP18,0)</f>
        <v>0</v>
      </c>
      <c r="CV19" s="93" t="n">
        <f aca="false">IF(OR(C20="Special Holiday",C20="Working - Legal Holiday on RD",C20="Working - Special Holiday on RD",C20="Legal Holiday",C20="Legal Holiday on RD",C20="Special Holiday on RD",),BQ19,0)</f>
        <v>0</v>
      </c>
      <c r="CW19" s="93" t="n">
        <f aca="false">IF(AND(C19="Working - Rest Day",OR(C20="Special Holiday",C20="Working - Legal Holiday on RD",C20="Working - Special Holiday on RD",C20="Legal Holiday",C20="Legal Holiday on RD",C20="Special Holiday on RD",C20="Leave")),BQ19,0)</f>
        <v>0</v>
      </c>
      <c r="CX19" s="93" t="n">
        <f aca="false">IF(AND(C19="Legal Holiday",OR(C20="Special Holiday",C20="Legal Holiday on RD",C20="Special Holiday on RD",C20="Normal",C20="Rest Day",C20="Working - Legal Holiday on RD",C20="Working - Special Holiday on RD",C20="Working - Rest Day",C20="Leave")),BQ19,0)</f>
        <v>0</v>
      </c>
      <c r="CY19" s="93" t="n">
        <f aca="false">IF(AND(C19="Special Holiday",OR(C20="Legal Holiday",C20="Working - Legal Holiday on RD",C20="Working - Special Holiday on RD",C20="Normal",C20="Rest Day",C20="Legal Holiday on RD",C20="Special Holiday on RD",C20="Working - Rest Day",C20="Leave")),BQ19,0)</f>
        <v>0</v>
      </c>
      <c r="CZ19" s="93" t="n">
        <f aca="false">IF(AND(C19="Working - Legal Holiday on RD",OR(C20="Legal Holiday",C20="Special Holiday",C20="Working - Special Holiday on RD",C20="Normal",C20="Rest Day",C20="Special Holiday on RD",C20="Working - Rest Day",C20="Leave")),BQ19,0)</f>
        <v>0</v>
      </c>
      <c r="DA19" s="93" t="n">
        <f aca="false">IF(AND(C19="Working - Special Holiday on RD",OR(C20="Legal Holiday",C20="Special Holiday",C20="Working - Legal Holiday on RD",C20="Normal",C20="Rest Day",C20="Leave",C20="Legal Holiday on RD")),BQ19,0)</f>
        <v>0</v>
      </c>
      <c r="DB19" s="93" t="n">
        <f aca="false">IF(OR(C18="Special Holiday",C18="Working - Legal Holiday on RD",C18="Working - Special Holiday on RD",C18="Legal Holiday"),BQ18,0)</f>
        <v>0</v>
      </c>
      <c r="DC19" s="93" t="n">
        <f aca="false">IF(AND(C19="Working - Rest Day",OR(C18="Special Holiday",C18="Working - Legal Holiday on RD",C18="Working - Special Holiday on RD",C18="Normal",C18="Legal Holiday")),BQ18,0)</f>
        <v>0</v>
      </c>
      <c r="DD19" s="93" t="n">
        <f aca="false">IF(AND(OR(C19="Legal Holiday",C19="Legal Holiday on a Rest Day"),OR(C18="Special Holiday",C18="Working - Legal Holiday on RD",C18="Working - Special Holiday on RD",C18="Normal")),BQ18,0)</f>
        <v>0</v>
      </c>
      <c r="DE19" s="93" t="n">
        <f aca="false">IF(AND(OR(C19="Special Holiday",C19="Special Holiday on RD"),OR(C18="Legal Holiday",C18="Working - Legal Holiday on RD",C18="Working - Special Holiday on RD",C18="Normal")),BQ18,0)</f>
        <v>0</v>
      </c>
      <c r="DF19" s="93" t="n">
        <f aca="false">IF(AND(C19="Working - Legal Holiday on a RD",OR(C18="Legal Holiday",C18="Special Holiday",C18="Working - Special Holiday on RD",C18="Normal")),BQ18,0)</f>
        <v>0</v>
      </c>
      <c r="DG19" s="93" t="n">
        <f aca="false">IF(AND(C19="Working - Special Holiday on RD",OR(C18="Legal Holiday",C18="Special Holiday",C18="Working - Legal Holiday on RD",C18="Normal")),BQ18,0)</f>
        <v>0</v>
      </c>
      <c r="DH19" s="93" t="n">
        <f aca="false">IF(OR(C20="Special Holiday",C20="Working - Legal Holiday on RD",C20="Working - Special Holiday on RD",C20="Legal Holiday",C20="Legal Holiday on RD",C20="Special Holiday on RD",),BO19,0)</f>
        <v>0</v>
      </c>
      <c r="DI19" s="93" t="n">
        <f aca="false">IF(AND(C19="Working - Rest Day",OR(C20="Special Holiday",C20="Working - Legal Holiday on RD",C20="Working - Special Holiday on RD",C20="Legal Holiday",C20="Legal Holiday on RD",C20="Special Holiday on RD",C20="Leave")),BO19,0)</f>
        <v>0</v>
      </c>
      <c r="DJ19" s="93" t="n">
        <f aca="false">IF(AND(C19="Legal Holiday",OR(C20="Special Holiday",C20="Legal Holiday on RD",C20="Special Holiday on RD",C20="Normal",C20="Rest Day",C20="Working - Legal Holiday on RD",C20="Working - Special Holiday on RD",C20="Working - Rest Day",C20="Leave")),BO19,0)</f>
        <v>0</v>
      </c>
      <c r="DK19" s="93" t="n">
        <f aca="false">IF(AND(C19="Special Holiday",OR(C20="Legal Holiday",C20="Working - Legal Holiday on RD",C20="Working - Special Holiday on RD",C20="Normal",C20="Rest Day",C20="Legal Holiday on RD",C20="Special Holiday on RD",C20="Working - Rest Day",C20="Leave")),BO19,0)</f>
        <v>0</v>
      </c>
      <c r="DL19" s="93" t="n">
        <f aca="false">IF(AND(C19="Working - Legal Holiday on RD",OR(C20="Legal Holiday",C20="Special Holiday",C20="Working - Special Holiday on RD",C20="Normal",C20="Rest Day",C20="Special Holiday on RD",C20="Working - Rest Day",C20="Leave")),BO19,0)</f>
        <v>0</v>
      </c>
      <c r="DM19" s="93" t="n">
        <f aca="false">IF(AND(C19="Working - Special Holiday on RD",OR(C20="Legal Holiday",C20="Special Holiday",C20="Working - Legal Holiday on RD",C20="Normal",C20="Rest Day",C20="Leave",C20="Legal Holiday on RD")),BO19,0)</f>
        <v>0</v>
      </c>
      <c r="DN19" s="93" t="n">
        <f aca="false">IF(OR(C18="Special Holiday",C18="Working - Legal Holiday on RD",C18="Working - Special Holiday on RD",C18="Legal Holiday"),BO18,0)</f>
        <v>0</v>
      </c>
      <c r="DO19" s="93" t="n">
        <f aca="false">IF(AND(C19="Working - Rest Day",OR(C18="Special Holiday",C18="Working - Legal Holiday on RD",C18="Working - Special Holiday on RD",C18="Normal",C18="Legal Holiday")),BO18,0)</f>
        <v>0</v>
      </c>
      <c r="DP19" s="93" t="n">
        <f aca="false">IF(AND(OR(C19="Legal Holiday",C19="Legal Holiday on a Rest Day"),OR(C18="Special Holiday",C18="Working - Legal Holiday on RD",C18="Working - Special Holiday on RD",C18="Normal")),BO18,0)</f>
        <v>0</v>
      </c>
      <c r="DQ19" s="93" t="n">
        <f aca="false">IF(AND(OR(C19="Special Holiday",C19="Special Holiday on RD"),OR(C18="Legal Holiday",C18="Working - Legal Holiday on RD",C18="Working - Special Holiday on RD",C18="Normal")),BO18,0)</f>
        <v>0</v>
      </c>
      <c r="DR19" s="93" t="n">
        <f aca="false">IF(AND(C19="Working - Legal Holiday on a RD",OR(C18="Legal Holiday",C18="Special Holiday",C18="Working - Special Holiday on RD",C18="Normal")),BO18,0)</f>
        <v>0</v>
      </c>
      <c r="DS19" s="93" t="n">
        <f aca="false">IF(AND(C19="Working - Special Holiday on RD",OR(C18="Legal Holiday",C18="Special Holiday",C18="Working - Legal Holiday on RD",C18="Normal")),BO18,0)</f>
        <v>0</v>
      </c>
    </row>
    <row r="20" s="6" customFormat="true" ht="14.25" hidden="false" customHeight="true" outlineLevel="0" collapsed="false">
      <c r="A20" s="79" t="n">
        <v>46195</v>
      </c>
      <c r="B20" s="80" t="str">
        <f aca="false">TEXT(WEEKDAY(A20),"ddd")</f>
        <v>Mon</v>
      </c>
      <c r="C20" s="81" t="s">
        <v>4</v>
      </c>
      <c r="D20" s="82" t="n">
        <v>0.354166666666667</v>
      </c>
      <c r="E20" s="79" t="n">
        <v>46195</v>
      </c>
      <c r="F20" s="82" t="n">
        <v>0.8125</v>
      </c>
      <c r="G20" s="82" t="n">
        <v>0.354166666666667</v>
      </c>
      <c r="H20" s="82" t="n">
        <v>0.8125</v>
      </c>
      <c r="I20" s="83" t="n">
        <f aca="false">IFERROR(IF(N20="Strict",IF(C20="Normal",IFERROR(IF((HOUR(IF(AQ20&lt;=AR20,BB20-AR20,BB20-AQ20))+MINUTE(IF(AQ20&lt;=AR20,BB20-AR20,BB20-AQ20))/60)&gt;=6,HOUR(IF(AQ20&lt;=AR20,BB20-AR20,BB20-AQ20))+MINUTE(IF(AQ20&lt;=AR20,BB20-AR20,BB20-AQ20))/60-1,HOUR(IF(AQ20&lt;=AR20,BB20-AR20,BB20-AQ20))+MINUTE(IF(AQ20&lt;=AR20,BB20-AR20,BB20-AQ20))/60),0),0),IF(N20="Flexi",IF(C20="Normal",IF((HOUR(BB20-AR20)+MINUTE(BB20-AR20)/60)&gt;=6,(HOUR(BB20-AR20)+MINUTE(BB20-AR20)/60)-1,(HOUR(BB20-AR20)+MINUTE(BB20-AR20)/60)),0),0)),0)</f>
        <v>0</v>
      </c>
      <c r="J20" s="82"/>
      <c r="K20" s="79"/>
      <c r="L20" s="84"/>
      <c r="M20" s="79"/>
      <c r="N20" s="79" t="s">
        <v>2</v>
      </c>
      <c r="O20" s="85"/>
      <c r="P20" s="79"/>
      <c r="Q20" s="86" t="s">
        <v>110</v>
      </c>
      <c r="R20" s="87" t="n">
        <f aca="false">IF(AND(C20="Normal",I20&gt;0),(8-S20),0)-IF(AND(C20="Normal",OR(C21="Special Holiday",C21="Working - Legal Holiday on RD",C21="Working - Special Holiday on RD",C21="Legal Holiday",C21="Legal Holiday on RD",C21="Special Holiday on RD")),BN20,0)+IF(AND(OR(C20="Normal",C20="Leave",C20="Rest Day"),OR(C19="Special Holiday",C19="Working - Legal Holiday on RD",C19="Working - Special Holiday on RD",C19="Legal Holiday")),BN19,0)</f>
        <v>0</v>
      </c>
      <c r="S20" s="87" t="n">
        <f aca="false">IF(C20="Normal",IF(P20="Remain Lates",(IFERROR(IF(N20="Strict",IF(C20="Normal",IF(AQ20&lt;=AR20,HOUR(AR20-AQ20)+(MINUTE(AR20-AQ20)/60),0)+IF(BB20&lt;=BC20,HOUR(BC20-BB20)+(MINUTE(BC20-BB20)/60),0),0),IF(I20=0,0,(8-I20))),0)-(O20/60)),IF((O20/60)&gt;=IFERROR(IF(N20="Strict",IF(C20="Normal",IF(AQ20&lt;=AR20,HOUR(AR20-AQ20)+(MINUTE(AR20-AQ20)/60),0)+IF(BB20&lt;=BC20,HOUR(BC20-BB20)+(MINUTE(BC20-BB20)/60),0),0),IF(I20=0,0,(8-I20))),0),0,IFERROR(IF(N20="Strict",IF(C20="Normal",IF(AQ20&lt;=AR20,HOUR(AR20-AQ20)+(MINUTE(AR20-AQ20)/60),0)+IF(BB20&lt;=BC20,HOUR(BC20-BB20)+(MINUTE(BC20-BB20)/60),0),0),IF(I20=0,0,(8-I20))),0))),0)</f>
        <v>0</v>
      </c>
      <c r="T20" s="88" t="n">
        <f aca="false">IF(AND(C20="Working - Rest Day",BW20&gt;0),(8-IF(BV20&gt;6,BV20-1,BV20)),0)-IF(AND(C20="Working - Rest Day",OR(C21="Special Holiday",C21="Working - Legal Holiday on RD",C21="Working - Special Holiday on RD",C21="Legal Holiday",C21="Legal Holiday on RD",C21="Special Holiday on RD")),BN20,0)+IF(AND(C20="Working - Rest Day",OR(C19="Special Holiday",C19="Working - Legal Holiday on RD",C19="Working - Special Holiday on RD",C19="Legal Holiday")),BN19,0)</f>
        <v>0</v>
      </c>
      <c r="U20" s="88" t="n">
        <f aca="false">IF(AND(C20="Legal Holiday",BW20&gt;0),(8-IF(BV20&gt;6,BV20-1,BV20)),0)-IF(AND(C20="Legal Holiday",OR(C21="Special Holiday",C21="Legal Holiday on RD",C21="Special Holiday on RD",C21="Normal",C21="Rest Day",C21="Working - Legal Holiday on RD",C21="Working - Special Holiday on RD",C21="Working - Rest Day",C21="Leave")),BN20,0)+IF(AND(OR(C20="Legal Holiday",C20="Legal Holiday on RD"),OR(C19="Special Holiday",C19="Working - Legal Holiday on RD",C19="Working - Special Holiday on RD",C19="Normal",C19="Working - Rest Day")),BN19,0)</f>
        <v>0</v>
      </c>
      <c r="V20" s="88" t="n">
        <f aca="false">IF(AND(C20="Special Holiday",BW20&gt;0),(8-IF(BV20&gt;6,BV20-1,BV20)),0)-IF(AND(C20="Special Holiday",OR(C21="Legal Holiday",C21="Working - Legal Holiday on RD",C21="Working - Special Holiday on RD",C21="Normal",C21="Rest Day",C21="Legal Holiday on RD",C21="Special Holiday on RD",C21="Working - Rest Day",C21="Leave")),BN20,0)+IF(AND(OR(C20="Special Holiday",C20="Special Holiday on RD"),OR(C19="Legal Holiday",C19="Working - Legal Holiday on RD",C19="Working - Special Holiday on RD",C19="Working - Rest Day",C19="Normal")),BN19,0)</f>
        <v>0</v>
      </c>
      <c r="W20" s="88" t="n">
        <f aca="false">IF(AND(C20="Working - Legal Holiday on RD",BW20&gt;0),(8-IF(BV20&gt;6,BV20-1,BV20)),0)-IF(AND(C20="Working - Legal Holiday on RD",OR(C21="Legal Holiday",C21="Special Holiday",C21="Working - Special Holiday on RD",C21="Normal",C21="Rest Day",C21="Special Holiday on RD",C21="Working - Rest Day",C21="Leave")),BN20,0)+IF(AND(C20="Working - Legal Holiday on RD",OR(C19="Legal Holiday",C19="Special Holiday",C19="Working - Special Holiday on RD",C19="Working - Rest Day",C19="Normal")),BN19,0)</f>
        <v>0</v>
      </c>
      <c r="X20" s="88" t="n">
        <f aca="false">IF(AND(C20="Working - Special Holiday on RD",BW20&gt;0),(8-IF(BV20&gt;6,BV20-1,BV20)),0)-IF(AND(C20="Working - Special Holiday on RD",OR(C21="Legal Holiday",C21="Special Holiday",C21="Working - Legal Holiday on RD",C21="Normal",C21="Rest Day",C21="Leave",C21="Working - Rest Day",C21="Legal Holiday on RD")),BN20,0)+IF(AND(C20="Working - Special Holiday on RD",OR(C19="Legal Holiday",C19="Special Holiday",C19="Working - Legal Holiday on RD",C19="Normal",C19="Working - Rest Day")),BN19,0)</f>
        <v>0</v>
      </c>
      <c r="Y20" s="88" t="n">
        <f aca="false">IFERROR(IF(C20="Normal",HOUR(AY20-AV20)+MINUTE(AY20-AV20)/60,0),0)-IFERROR(IF(C20="Normal",HOUR(BA20-AX20)+MINUTE(BA20-AX20)/60,0),0)-IF(AND(C20="Normal",OR(C21="Special Holiday",C21="Working - Legal Holiday on RD",C21="Working - Special Holiday on RD",C21="Legal Holiday",C21="Legal Holiday on RD",C21="Special Holiday on RD")),BP20,0)+IF(AND(OR(C20="Normal",C20="Rest Day",C20="Leave"),OR(C19="Special Holiday",C19="Working - Legal Holiday on RD",C19="Working - Special Holiday on RD",C19="Legal Holiday")),BP19,0)</f>
        <v>0</v>
      </c>
      <c r="Z20" s="88" t="n">
        <f aca="false">IFERROR(IF(C20="Working - Rest Day",HOUR(AY20-AV20)+MINUTE(AY20-AV20)/60,0),0)-IFERROR(IF(C20="Working - Rest Day",HOUR(BA20-AX20)+MINUTE(BA20-AX20)/60,0),0)-IF(AND(C20="Working - Rest Day",OR(C21="Special Holiday",C21="Working - Legal Holiday on RD",C21="Working - Special Holiday on RD",C21="Legal Holiday",C21="Legal Holiday on RD",C21="Special Holiday on RD")),BP20,0)+IF(AND(C20="Working - Rest Day",OR(C19="Special Holiday",C19="Working - Legal Holiday on RD",C19="Working - Special Holiday on RD",C19="Legal Holiday")),BP19,0)</f>
        <v>0</v>
      </c>
      <c r="AA20" s="88" t="n">
        <f aca="false">IFERROR(IF(C20="Legal Holiday",HOUR(AY20-AV20)+MINUTE(AY20-AV20)/60,0),0)-IFERROR(IF(C20="Legal Holiday",HOUR(BA20-AX20)+MINUTE(BA20-AX20)/60,0),0)-IF(AND(C20="Legal Holiday",OR(C21="Special Holiday",C21="Legal Holiday on RD",C21="Special Holiday on RD",C21="Normal",C21="Rest Day",C21="Working - Legal Holiday on RD",C21="Working - Special Holiday on RD",C21="Working - Rest Day",C21="Leave")),BP20,0)+IF(AND(OR(C20="Legal Holiday",C20="Legal Holiday on RD"),OR(C19="Special Holiday",C19="Working - Legal Holiday on RD",C19="Working - Special Holiday on RD",C19="Normal",C19="Working - Rest Day")),BP19,0)</f>
        <v>0</v>
      </c>
      <c r="AB20" s="88" t="n">
        <f aca="false">IFERROR(IF(C20="Special Holiday",HOUR(AY20-AV20)+MINUTE(AY20-AV20)/60,0),0)-IFERROR(IF(C20="Special Holiday",HOUR(BA20-AX20)+MINUTE(BA20-AX20)/60,0),0)-IF(AND(C20="Special Holiday",OR(C21="Legal Holiday",C21="Working - Legal Holiday on RD",C21="Working - Special Holiday on RD",C21="Normal",C21="Rest Day",C21="Legal Holiday on RD",C21="Special Holiday on RD",C21="Working - Rest Day",C21="Leave")),BP20,0)+IF(AND(OR(C20="Special Holiday",C20="Special Holiday on RD"),OR(C19="Legal Holiday",C19="Working - Legal Holiday on RD",C19="Working - Special Holiday on RD",C19="Normal",C19="Working - Rest Day")),BP19,0)</f>
        <v>0</v>
      </c>
      <c r="AC20" s="88" t="n">
        <f aca="false">IFERROR(IF(C20="Working - Legal Holiday on RD",HOUR(AY20-AV20)+MINUTE(AY20-AV20)/60,0),0)-IFERROR(IF(C20="Working - Legal Holiday on RD",HOUR(BA20-AX20)+MINUTE(BA20-AX20)/60,0),0)-IF(AND(C20="Working - Legal Holiday on RD",OR(C21="Legal Holiday",C21="Special Holiday",C21="Working - Special Holiday on RD",C21="Normal",C21="Rest Day",C21="Special Holiday on RD",C21="Working - Rest Day",C21="Leave")),BP20,0)+IF(AND(C20="Working - Legal Holiday on RD",OR(C19="Legal Holiday",C19="Special Holiday",C19="Working - Special Holiday on RD",C19="Normal",C19="Working - Rest Day")),BP19,0)</f>
        <v>0</v>
      </c>
      <c r="AD20" s="88" t="n">
        <f aca="false">IFERROR(IF(C20="Working - Special Holiday on RD",HOUR(AY20-AV20)+MINUTE(AY20-AV20)/60,0),0)-IFERROR(IF(C20="Working - Special Holiday on RD",HOUR(BA20-AX20)+MINUTE(BA20-AX20)/60,0),0)-IF(AND(C20="Working - Special Holiday on RD",OR(C21="Legal Holiday",C21="Special Holiday",C21="Working - Legal Holiday on RD",C21="Normal",C21="Rest Day",C21="Working - Rest Day",C21="Leave",C21="Legal Holiday on RD")),BP20,0)+IF(AND(C20="Working - Special Holiday on RD",OR(C19="Legal Holiday",C19="Special Holiday",C19="Working - Legal Holiday on RD",C19="Normal",C19="Working - Rest Day")),BP19,0)</f>
        <v>0</v>
      </c>
      <c r="AE20" s="88" t="n">
        <f aca="false">IFERROR(IF(C20="Normal",HOUR(BA20-AX20)+MINUTE(BA20-AX20)/60,0),0)-IF(AND(C20="Normal",OR(C21="Special Holiday",C21="Working - Legal Holiday on RD",C21="Working - Special Holiday on RD",C21="Legal Holiday",C21="Legal Holiday on RD",C21="Special Holiday on RD")),BQ20,0)+IF(AND(OR(C20="Normal",C20="Rest Day",C20="Leave"),OR(C19="Special Holiday",C19="Working - Legal Holiday on RD",C19="Working - Special Holiday on RD",C19="Legal Holiday")),BQ19,0)</f>
        <v>0</v>
      </c>
      <c r="AF20" s="88" t="n">
        <f aca="false">IFERROR(IF(C20="Working - Rest Day",HOUR(BA20-AX20)+MINUTE(BA20-AX20)/60,0),0)-IF(AND(C20="Working - Rest Day",OR(C21="Special Holiday",C21="Working - Legal Holiday on RD",C21="Working - Special Holiday on RD",C21="Legal Holiday",C21="Legal Holiday on RD",C21="Special Holiday on RD")),BQ20,0)+IF(AND(C20="Working - Rest Day",OR(C19="Special Holiday",C19="Working - Legal Holiday on RD",C19="Working - Special Holiday on RD",C19="Legal Holiday")),BQ19,0)</f>
        <v>0</v>
      </c>
      <c r="AG20" s="88" t="n">
        <f aca="false">IFERROR(IF(C20="Legal Holiday",HOUR(BA20-AX20)+MINUTE(BA20-AX20)/60,0),0)-IF(AND(C20="Legal Holiday",OR(C21="Special Holiday",C21="Legal Holiday on RD",C21="Special Holiday on RD",C21="Normal",C21="Rest Day",C21="Working - Legal Holiday on RD",C21="Working - Special Holiday on RD",C21="Working - Rest Day",C21="Leave")),BQ20,0)+IF(AND(OR(C20="Legal Holiday",C20="Legal Holiday on RD"),OR(C19="Special Holiday",C19="Working - Legal Holiday on RD",C19="Working - Special Holiday on RD",C19="Normal",C19="Working - Rest Day")),BQ19,0)</f>
        <v>0</v>
      </c>
      <c r="AH20" s="88" t="n">
        <f aca="false">IFERROR(IF(C20="Special Holiday",HOUR(BA20-AX20)+MINUTE(BA20-AX20)/60,0),0)-IF(AND(C20="Special Holiday",OR(C21="Legal Holiday",C21="Working - Legal Holiday on RD",C21="Working - Special Holiday on RD",C21="Normal",C21="Rest Day",C21="Legal Holiday on RD",C21="Special Holiday on RD",C21="Working - Rest Day",C21="Leave")),BQ20,0)+IF(AND(OR(C20="Special Holiday",C20="Special Holiday on RD"),OR(C19="Legal Holiday",C19="Working - Legal Holiday on RD",C19="Working - Special Holiday on RD",C19="Normal",C19="Working - Rest Day")),BQ19,0)</f>
        <v>0</v>
      </c>
      <c r="AI20" s="88" t="n">
        <f aca="false">IFERROR(IF(C20="Working - Legal Holiday on RD",HOUR(BA20-AX20)+MINUTE(BA20-AX20)/60,0),0)-IF(AND(C20="Working - Legal Holiday on RD",OR(C21="Legal Holiday",C21="Special Holiday",C21="Working - Special Holiday on RD",C21="Normal",C21="Rest Day",C21="Special Holiday on RD",C21="Working - Rest Day",C21="Leave")),BQ20,0)+IF(AND(C20="Working - Legal Holiday on RD",OR(C19="Legal Holiday",C19="Special Holiday",C19="Working - Special Holiday on RD",C19="Normal",C19="Working - Rest Day")),BQ19,0)</f>
        <v>0</v>
      </c>
      <c r="AJ20" s="88" t="n">
        <f aca="false">IFERROR(IF(C20="Working - Special Holiday on RD",HOUR(BA20-AX20)+MINUTE(BA20-AX20)/60,0),0)-IF(AND(C20="Working - Special Holiday on RD",OR(C21="Legal Holiday",C21="Special Holiday",C21="Working - Legal Holiday on RD",C21="Normal",C21="Rest Day",C21="Working - Rest Day",C21="Leave",C21="Legal Holiday on RD")),BQ20,0)+IF(AND(C20="Working - Special Holiday on RD",OR(C19="Legal Holiday",C19="Special Holiday",C19="Working - Legal Holiday on RD",C19="Normal",C19="Working - Rest Day")),BQ19,0)</f>
        <v>0</v>
      </c>
      <c r="AK20" s="88" t="n">
        <f aca="false">IFERROR(IF(C20="Normal",HOUR(BF20-AU20)+(MINUTE(BF20-AU20)/60),0),0)-IF(AND(C20="Normal",OR(C21="Special Holiday",C21="Working - Legal Holiday on RD",C21="Working - Special Holiday on RD",C21="Legal Holiday",C21="Legal Holiday on RD",C21="Special Holiday on RD")),BO20,0)+IF(AND(OR(C20="Normal",C20="Rest Day",C20="Leave"),OR(C19="Special Holiday",C19="Working - Legal Holiday on RD",C19="Working - Special Holiday on RD",C19="Legal Holiday")),BO19,0)</f>
        <v>0</v>
      </c>
      <c r="AL20" s="88" t="n">
        <f aca="false">IFERROR(IF(C20="Working - Rest Day",HOUR(BF20-AU20)+(MINUTE(BF20-AU20)/60),0),0)-IF(AND(C20="Working - Rest Day",OR(C21="Special Holiday",C21="Working - Legal Holiday on RD",C21="Working - Special Holiday on RD",C21="Legal Holiday",C21="Legal Holiday on RD",C21="Special Holiday on RD")),BO20,0)+IF(AND(C20="Working - Rest Day",OR(C19="Special Holiday",C19="Working - Legal Holiday on RD",C19="Working - Special Holiday on RD",C19="Legal Holiday")),BO19,0)</f>
        <v>0</v>
      </c>
      <c r="AM20" s="88" t="n">
        <f aca="false">IFERROR(IF(C20="Legal Holiday",HOUR(BF20-AU20)+(MINUTE(BF20-AU20)/60),0),0)-IF(AND(C20="Legal Holiday",OR(C21="Special Holiday",C21="Legal Holiday on RD",C21="Special Holiday on RD",C21="Normal",C21="Rest Day",C21="Working - Legal Holiday on RD",C21="Working - Special Holiday on RD",C21="Working - Rest Day",C21="Leave")),BO20,0)+IF(AND(OR(C20="Legal Holiday",C20="Legal Holiday on RD"),OR(C19="Special Holiday",C19="Working - Legal Holiday on RD",C19="Working - Special Holiday on RD",C19="Normal",C19="Working - Rest Day")),BO19,0)</f>
        <v>0</v>
      </c>
      <c r="AN20" s="88" t="n">
        <f aca="false">IFERROR(IF(C20="Special Holiday",HOUR(BF20-AU20)+(MINUTE(BF20-AU20)/60),0),0)-IF(AND(C20="Special Holiday",OR(C21="Legal Holiday",C21="Working - Legal Holiday on RD",C21="Working - Special Holiday on RD",C21="Normal",C21="Rest Day",C21="Legal Holiday on RD",C21="Special Holiday on RD",C21="Working - Rest Day",C21="Leave")),BO20,0)+IF(AND(OR(C20="Special Holiday",C20="Special Holiday on RD"),OR(C19="Legal Holiday",C19="Working - Legal Holiday on RD",C19="Working - Special Holiday on RD",C19="Normal",C19="Working - Rest Day")),BO19,0)</f>
        <v>0</v>
      </c>
      <c r="AO20" s="88" t="n">
        <f aca="false">IFERROR(IF(C20="Working - Legal Holiday on RD",HOUR(BF20-AU20)+(MINUTE(BF20-AU20)/60),0),0)-IF(AND(C20="Working - Legal Holiday on RD",OR(C21="Legal Holiday",C21="Special Holiday",C21="Working - Special Holiday on RD",C21="Normal",C21="Rest Day",C21="Special Holiday on RD",C21="Working - Rest Day",C21="Leave")),BO20,0)+IF(AND(C20="Working - Legal Holiday on RD",OR(C19="Legal Holiday",C19="Special Holiday",C19="Working - Special Holiday on RD",C19="Normal",C19="Working - Rest Day")),BO19,0)</f>
        <v>0</v>
      </c>
      <c r="AP20" s="88" t="n">
        <f aca="false">IFERROR(IF(C20="Working - Special Holiday on RD",HOUR(BF20-AU20)+(MINUTE(BF20-AU20)/60),0),0)-IF(AND(C20="Working - Special Holiday on RD",OR(C21="Legal Holiday",C21="Special Holiday",C21="Working - Legal Holiday on RD",C21="Normal",C21="Rest Day",C21="Working - Rest Day",C21="Leave",C21="Legal Holiday on RD")),BO20,0)+IF(AND(C20="Working - Special Holiday on RD",OR(C19="Legal Holiday",C19="Special Holiday",C19="Working - Legal Holiday on RD",C19="Normal",C19="Working - Rest Day")),BO19,0)</f>
        <v>0</v>
      </c>
      <c r="AQ20" s="89" t="str">
        <f aca="false">TEXT(D20,"HH:MM")&amp;" "&amp;TEXT(A20,"DD-mmm-YY")</f>
        <v>08:30 22-Jun-26</v>
      </c>
      <c r="AR20" s="89" t="str">
        <f aca="false">TEXT(G20,"HH:MM")&amp;" "&amp;TEXT(A20,"DD-mmm-YY")</f>
        <v>08:30 22-Jun-26</v>
      </c>
      <c r="AS20" s="60" t="str">
        <f aca="false">IF($AR$1&lt;D20,AR20,IF(AT20&lt;=AR20,AR20,AT20))</f>
        <v>22:00 22-Jun-26</v>
      </c>
      <c r="AT20" s="60" t="str">
        <f aca="false">IF(AND(D20&gt;=0,D20&lt;0.25),TEXT($AR$1,"HH:MM")&amp;" "&amp;TEXT((A20-1),"dd-mmm-yy"),TEXT($AR$1,"HH:MM")&amp;" "&amp;TEXT(A20,"dd-mmm-yy"))</f>
        <v>22:00 22-Jun-26</v>
      </c>
      <c r="AU20" s="40" t="e">
        <f aca="false" t="array" ref="AU20:AU20">MAX(AQ20:AS20+0)</f>
        <v>#VALUE!</v>
      </c>
      <c r="AV20" s="60" t="str">
        <f aca="false">TEXT(J20,"HH:MM")&amp;" "&amp;TEXT(K20,"DD-mmm-YY")</f>
        <v>00:00 00-Jan-00</v>
      </c>
      <c r="AW20" s="60" t="str">
        <f aca="false">IF(K20&lt;A20,TEXT($AR$1,"HH:MM")&amp;" "&amp;TEXT((A20-1),"dd-mmm-yy"),IF(AND(D20&gt;0,D20&lt;0.25,L20&lt;0.916666666666667,A20&lt;M20),TEXT($AR$1,"HH:MM")&amp;" "&amp;TEXT((A20-1),"dd-mmm-yy"),TEXT($AR$1,"HH:MM")&amp;" "&amp;TEXT(A20,"dd-mmm-yy")))</f>
        <v>22:00 21-Jun-26</v>
      </c>
      <c r="AX20" s="40" t="e">
        <f aca="false" t="array" ref="AX20:AX20">MAX(AV20:AW20+0)</f>
        <v>#VALUE!</v>
      </c>
      <c r="AY20" s="60" t="str">
        <f aca="false">TEXT(L20,"HH:MM")&amp;" "&amp;TEXT(M20,"DD-mmm-YY")</f>
        <v>00:00 00-Jan-00</v>
      </c>
      <c r="AZ20" s="60" t="str">
        <f aca="false">IF(AND(D20&gt;=0,D20&lt;0.25,L20&lt;0.916666666666667,A20&gt;M20),TEXT($AR$2,"HH:MM")&amp;" "&amp;TEXT(A20,"DD-mmm-YY"),TEXT($AR$2,"HH:MM")&amp;" "&amp;TEXT((A20+1),"DD-mmm-YY"))</f>
        <v>06:00 23-Jun-26</v>
      </c>
      <c r="BA20" s="40" t="e">
        <f aca="false" t="array" ref="BA20:BA20">MIN(AY20:AZ20+0)</f>
        <v>#VALUE!</v>
      </c>
      <c r="BB20" s="60" t="str">
        <f aca="false">IF(G20&gt;H20,TEXT(H20,"HH:MM")&amp;" "&amp;TEXT(E20,"DD-mmm-YY"),IF(H20&gt;1,TEXT(H20,"HH:MM")&amp;" "&amp;TEXT(E20,"DD-mmm-YY"),TEXT(H20,"HH:MM")&amp;" "&amp;TEXT(A20,"DD-mmm-YY")))</f>
        <v>19:30 22-Jun-26</v>
      </c>
      <c r="BC20" s="60" t="str">
        <f aca="false">IF(N20="Flexi",TEXT(G20+$BC$1,"HH:MM")&amp;" "&amp;TEXT(E20,"DD-mmm-YY"),TEXT(F20,"HH:MM")&amp;" "&amp;TEXT(E20,"DD-mmm-YY"))</f>
        <v>19:30 22-Jun-26</v>
      </c>
      <c r="BD20" s="90" t="e">
        <f aca="false" t="array" ref="BD20:BD20">MIN(BB20:BC20+0)</f>
        <v>#VALUE!</v>
      </c>
      <c r="BE20" s="60" t="str">
        <f aca="false">IF(D20&gt;0.25,TEXT($AR$2,"HH:MM")&amp;" "&amp;TEXT(IF(BG20&lt;H20,A20+1,E20),"DD-mmm-YY"),IF(D20&gt;=0,TEXT($AR$2,"HH:MM")&amp;" "&amp;TEXT(IF(BG20&lt;H20,A20+1,E20)-1,"DD-mmm-YY"),TEXT($AR$2,"HH:MM")&amp;" "&amp;TEXT(IF(BG20&lt;H20,A20+1,E20),"DD-mmm-YY")))</f>
        <v>06:00 23-Jun-26</v>
      </c>
      <c r="BF20" s="40" t="e">
        <f aca="false" t="array" ref="BF20:BF20">IF(N20="Flexi",IF(AND(BB20&gt;BC20,BB20&lt;BE20),BB20,MIN(BB20:BE20+0)),MIN(BB20:BE20+0))</f>
        <v>#VALUE!</v>
      </c>
      <c r="BG20" s="7" t="n">
        <v>0</v>
      </c>
      <c r="BH20" s="9" t="str">
        <f aca="false">TEXT(BG20,"HH:MM")&amp;" "&amp;TEXT(A20+1,"DD-mmm-YY")</f>
        <v>00:00 23-Jun-26</v>
      </c>
      <c r="BI20" s="9" t="str">
        <f aca="false">AV20</f>
        <v>00:00 00-Jan-00</v>
      </c>
      <c r="BJ20" s="91" t="e">
        <f aca="false" t="array" ref="BJ20:BJ20">MAX(BH20:BI20+0)</f>
        <v>#VALUE!</v>
      </c>
      <c r="BK20" s="9" t="str">
        <f aca="false">TEXT($AR$2,"HH:MM")&amp;" "&amp;TEXT(A20+1,"DD-mmm-YY")</f>
        <v>06:00 23-Jun-26</v>
      </c>
      <c r="BL20" s="9" t="str">
        <f aca="false">AY20</f>
        <v>00:00 00-Jan-00</v>
      </c>
      <c r="BM20" s="91" t="e">
        <f aca="false" t="array" ref="BM20:BM20">MIN(BK20:BL20+0)</f>
        <v>#VALUE!</v>
      </c>
      <c r="BN20" s="13" t="n">
        <f aca="false">IF(IFERROR(IF(E20&gt;A20,IF(BD20&gt;=BD20,HOUR(BD20-BH20)+MINUTE(BD20-BH20)/60,0),0),0)&gt;5,(IFERROR(IF(E20&gt;A20,IF(BD20&gt;=BD20,HOUR(BD20-BH20)+MINUTE(BD20-BH20)/60,0),0),0)-1),IFERROR(IF(E20&gt;A20,IF(BD20&gt;=BD20,HOUR(BD20-BH20)+MINUTE(BD20-BH20)/60,0),0),0))</f>
        <v>0</v>
      </c>
      <c r="BO20" s="13" t="n">
        <f aca="false">IFERROR(IF(E20&gt;A20,HOUR(BF20-BH20)+MINUTE(BF20-BH20)/60,0),0)</f>
        <v>0</v>
      </c>
      <c r="BP20" s="92" t="n">
        <f aca="false">IF(AND(A20&lt;M20,L20&gt;0.25,L20&lt;=0.916666666666667,J20&gt;=0.25),IFERROR(HOUR(AY20-AV20)+MINUTE(AY20-AV20)/60,0),IFERROR(HOUR(AY20-BK20)+MINUTE(AY20-BK20)/60,0))</f>
        <v>0</v>
      </c>
      <c r="BQ20" s="13" t="n">
        <f aca="false">IFERROR(HOUR(BM20-BJ20)+MINUTE(BM20-BJ20)/60,0)</f>
        <v>0</v>
      </c>
      <c r="BR20" s="13" t="n">
        <f aca="false">IF(AND(C20=C20,BW20&gt;0),(8-BV20),0)-BN20</f>
        <v>0</v>
      </c>
      <c r="BS20" s="13" t="n">
        <f aca="false">IFERROR(IF(C20=C20,HOUR(BF20-AU20)+(MINUTE(BF20-AU20)/60),0),0)-BO20</f>
        <v>0</v>
      </c>
      <c r="BT20" s="92" t="n">
        <f aca="false">IFERROR(IF(C20=C20,HOUR(AY20-AV20)+MINUTE(AY20-AV20)/60,0),0)-IFERROR(IF(C20=C20,HOUR(BA20-AX20)+MINUTE(BA20-AX20)/60,0),0)-BP20</f>
        <v>0</v>
      </c>
      <c r="BU20" s="13" t="n">
        <f aca="false">IFERROR(IF(C20=C20,HOUR(BA20-AX20)+MINUTE(BA20-AX20)/60,0),0)-BQ20</f>
        <v>0</v>
      </c>
      <c r="BV20" s="13" t="n">
        <f aca="false">IF(C20=C20,IF(P20="Remain Lates",(IFERROR(IF(N20="Strict",IF(C20=C20,IF(AQ20&lt;=AR20,HOUR(AR20-AQ20)+(MINUTE(AR20-AQ20)/60),0)+IF(BB20&lt;=BC20,HOUR(BC20-BB20)+(MINUTE(BC20-BB20)/60),0),0),IF(BW20=0,0,(8-BW20))),0)-(O20/60)),IF((O20/60)&gt;=IFERROR(IF(N20="Strict",IF(C20=C20,IF(AQ20&lt;=AR20,HOUR(AR20-AQ20)+(MINUTE(AR20-AQ20)/60),0)+IF(BB20&lt;=BC20,HOUR(BC20-BB20)+(MINUTE(BC20-BB20)/60),0),0),IF(BW20=0,0,(8-BW20))),0),0,IFERROR(IF(N20="Strict",IF(C20=C20,IF(AQ20&lt;=AR20,HOUR(AR20-AQ20)+(MINUTE(AR20-AQ20)/60),0)+IF(BB20&lt;=BC20,HOUR(BC20-BB20)+(MINUTE(BC20-BB20)/60),0),0),IF(BW20=0,0,(8-BW20))),0))),0)</f>
        <v>0</v>
      </c>
      <c r="BW20" s="13" t="n">
        <f aca="false">IFERROR(IF(N20="Strict",IF(C20=C20,IFERROR(IF((HOUR(IF(AQ20&lt;=AR20,BB20-AR20,BB20-AQ20))+MINUTE(IF(AQ20&lt;=AR20,BB20-AR20,BB20-AQ20))/60)&gt;=6,HOUR(IF(AQ20&lt;=AR20,BB20-AR20,BB20-AQ20))+MINUTE(IF(AQ20&lt;=AR20,BB20-AR20,BB20-AQ20))/60-1,HOUR(IF(AQ20&lt;=AR20,BB20-AR20,BB20-AQ20))+MINUTE(IF(AQ20&lt;=AR20,BB20-AR20,BB20-AQ20))/60),0),0),IF(N20="Flexi",IF(C20=C20,IF((HOUR(BB20-AR20)+MINUTE(BB20-AR20)/60)&gt;=6,(HOUR(BB20-AR20)+MINUTE(BB20-AR20)/60)-1,(HOUR(BB20-AR20)+MINUTE(BB20-AR20)/60)),0),0)),0)</f>
        <v>0</v>
      </c>
      <c r="BX20" s="93" t="n">
        <f aca="false">IF(OR(C21="Special Holiday",C21="Working - Legal Holiday on RD",C21="Working - Special Holiday on RD",C21="Legal Holiday",C21="Legal Holiday on RD",C21="Special Holiday on RD",),BN20,0)</f>
        <v>0</v>
      </c>
      <c r="BY20" s="93" t="n">
        <f aca="false">IF(AND(C20="Working - Rest Day",OR(C21="Special Holiday",C21="Working - Legal Holiday on RD",C21="Working - Special Holiday on RD",C21="Legal Holiday",C21="Legal Holiday on RD",C21="Special Holiday on RD",C21="Leave")),BN20,0)</f>
        <v>0</v>
      </c>
      <c r="BZ20" s="93" t="n">
        <f aca="false">IF(AND(C20="Legal Holiday",OR(C21="Special Holiday",C21="Legal Holiday on RD",C21="Special Holiday on RD",C21="Normal",C21="Rest Day",C21="Working - Legal Holiday on RD",C21="Working - Special Holiday on RD",C21="Working - Rest Day",C21="Leave")),BN20,0)</f>
        <v>0</v>
      </c>
      <c r="CA20" s="93" t="n">
        <f aca="false">IF(AND(C20="Special Holiday",OR(C21="Legal Holiday",C21="Working - Legal Holiday on RD",C21="Working - Special Holiday on RD",C21="Normal",C21="Rest Day",C21="Legal Holiday on RD",C21="Special Holiday on RD",C21="Working - Rest Day",C21="Leave")),BN20,0)</f>
        <v>0</v>
      </c>
      <c r="CB20" s="93" t="n">
        <f aca="false">IF(AND(C20="Working - Legal Holiday on RD",OR(C21="Legal Holiday",C21="Special Holiday",C21="Working - Special Holiday on RD",C21="Normal",C21="Rest Day",C21="Special Holiday on RD",C21="Working - Rest Day",C21="Leave")),BN20,0)</f>
        <v>0</v>
      </c>
      <c r="CC20" s="93" t="n">
        <f aca="false">IF(AND(C20="Working - Special Holiday on RD",OR(C21="Legal Holiday",C21="Special Holiday",C21="Working - Legal Holiday on RD",C21="Normal",C21="Rest Day",C21="Leave",C21="Legal Holiday on RD")),BN20,0)</f>
        <v>0</v>
      </c>
      <c r="CD20" s="93" t="n">
        <f aca="false">IF(OR(C19="Special Holiday",C19="Working - Legal Holiday on RD",C19="Working - Special Holiday on RD",C19="Legal Holiday"),BN19,0)</f>
        <v>0</v>
      </c>
      <c r="CE20" s="93" t="n">
        <f aca="false">IF(AND(C20="Working - Rest Day",OR(C19="Special Holiday",C19="Working - Legal Holiday on RD",C19="Working - Special Holiday on RD",C19="Normal",C19="Legal Holiday")),BN19,0)</f>
        <v>0</v>
      </c>
      <c r="CF20" s="93" t="n">
        <f aca="false">IF(AND(OR(C20="Legal Holiday",C20="Legal Holiday on a Rest Day"),OR(C19="Special Holiday",C19="Working - Legal Holiday on RD",C19="Working - Special Holiday on RD",C19="Normal")),BN19,0)</f>
        <v>0</v>
      </c>
      <c r="CG20" s="93" t="n">
        <f aca="false">IF(AND(OR(C20="Special Holiday",C20="Special Holiday on RD"),OR(C19="Legal Holiday",C19="Working - Legal Holiday on RD",C19="Working - Special Holiday on RD",C19="Normal")),BN19,0)</f>
        <v>0</v>
      </c>
      <c r="CH20" s="93" t="n">
        <f aca="false">IF(AND(C20="Working - Legal Holiday on a RD",OR(C19="Legal Holiday",C19="Special Holiday",C19="Working - Special Holiday on RD",C19="Normal")),BN19,0)</f>
        <v>0</v>
      </c>
      <c r="CI20" s="93" t="n">
        <f aca="false">IF(AND(C20="Working - Special Holiday on RD",OR(C19="Legal Holiday",C19="Special Holiday",C19="Working - Legal Holiday on RD",C19="Normal")),BN19,0)</f>
        <v>0</v>
      </c>
      <c r="CJ20" s="93" t="n">
        <f aca="false">IF(OR(C21="Special Holiday",C21="Working - Legal Holiday on RD",C21="Working - Special Holiday on RD",C21="Legal Holiday",C21="Legal Holiday on RD",C21="Special Holiday on RD",),BP20,0)</f>
        <v>0</v>
      </c>
      <c r="CK20" s="93" t="n">
        <f aca="false">IF(AND(C20="Working - Rest Day",OR(C21="Special Holiday",C21="Working - Legal Holiday on RD",C21="Working - Special Holiday on RD",C21="Legal Holiday",C21="Legal Holiday on RD",C21="Special Holiday on RD",C21="Leave")),BP20,0)</f>
        <v>0</v>
      </c>
      <c r="CL20" s="93" t="n">
        <f aca="false">IF(AND(C20="Legal Holiday",OR(C21="Special Holiday",C21="Legal Holiday on RD",C21="Special Holiday on RD",C21="Normal",C21="Rest Day",C21="Working - Legal Holiday on RD",C21="Working - Special Holiday on RD",C21="Working - Rest Day",C21="Leave")),BP20,0)</f>
        <v>0</v>
      </c>
      <c r="CM20" s="93" t="n">
        <f aca="false">IF(AND(C20="Special Holiday",OR(C21="Legal Holiday",C21="Working - Legal Holiday on RD",C21="Working - Special Holiday on RD",C21="Normal",C21="Rest Day",C21="Legal Holiday on RD",C21="Special Holiday on RD",C21="Working - Rest Day",C21="Leave")),BP20,0)</f>
        <v>0</v>
      </c>
      <c r="CN20" s="93" t="n">
        <f aca="false">IF(AND(C20="Working - Legal Holiday on RD",OR(C21="Legal Holiday",C21="Special Holiday",C21="Working - Special Holiday on RD",C21="Normal",C21="Rest Day",C21="Special Holiday on RD",C21="Working - Rest Day",C21="Leave")),BP20,0)</f>
        <v>0</v>
      </c>
      <c r="CO20" s="93" t="n">
        <f aca="false">IF(AND(C20="Working - Special Holiday on RD",OR(C21="Legal Holiday",C21="Special Holiday",C21="Working - Legal Holiday on RD",C21="Normal",C21="Rest Day",C21="Leave",C21="Legal Holiday on RD")),BP20,0)</f>
        <v>0</v>
      </c>
      <c r="CP20" s="93" t="n">
        <f aca="false">IF(OR(C19="Special Holiday",C19="Working - Legal Holiday on RD",C19="Working - Special Holiday on RD",C19="Legal Holiday"),BP19,0)</f>
        <v>0</v>
      </c>
      <c r="CQ20" s="93" t="n">
        <f aca="false">IF(AND(C20="Working - Rest Day",OR(C19="Special Holiday",C19="Working - Legal Holiday on RD",C19="Working - Special Holiday on RD",C19="Normal",C19="Legal Holiday")),BP19,0)</f>
        <v>0</v>
      </c>
      <c r="CR20" s="93" t="n">
        <f aca="false">IF(AND(OR(C20="Legal Holiday",C20="Legal Holiday on a Rest Day"),OR(C19="Special Holiday",C19="Working - Legal Holiday on RD",C19="Working - Special Holiday on RD",C19="Normal")),BP19,0)</f>
        <v>0</v>
      </c>
      <c r="CS20" s="93" t="n">
        <f aca="false">IF(AND(OR(C20="Special Holiday",C20="Special Holiday on RD"),OR(C19="Legal Holiday",C19="Working - Legal Holiday on RD",C19="Working - Special Holiday on RD",C19="Normal")),BP19,0)</f>
        <v>0</v>
      </c>
      <c r="CT20" s="93" t="n">
        <f aca="false">IF(AND(C20="Working - Legal Holiday on a RD",OR(C19="Legal Holiday",C19="Special Holiday",C19="Working - Special Holiday on RD",C19="Normal")),BP19,0)</f>
        <v>0</v>
      </c>
      <c r="CU20" s="93" t="n">
        <f aca="false">IF(AND(C20="Working - Special Holiday on RD",OR(C19="Legal Holiday",C19="Special Holiday",C19="Working - Legal Holiday on RD",C19="Normal")),BP19,0)</f>
        <v>0</v>
      </c>
      <c r="CV20" s="93" t="n">
        <f aca="false">IF(OR(C21="Special Holiday",C21="Working - Legal Holiday on RD",C21="Working - Special Holiday on RD",C21="Legal Holiday",C21="Legal Holiday on RD",C21="Special Holiday on RD",),BQ20,0)</f>
        <v>0</v>
      </c>
      <c r="CW20" s="93" t="n">
        <f aca="false">IF(AND(C20="Working - Rest Day",OR(C21="Special Holiday",C21="Working - Legal Holiday on RD",C21="Working - Special Holiday on RD",C21="Legal Holiday",C21="Legal Holiday on RD",C21="Special Holiday on RD",C21="Leave")),BQ20,0)</f>
        <v>0</v>
      </c>
      <c r="CX20" s="93" t="n">
        <f aca="false">IF(AND(C20="Legal Holiday",OR(C21="Special Holiday",C21="Legal Holiday on RD",C21="Special Holiday on RD",C21="Normal",C21="Rest Day",C21="Working - Legal Holiday on RD",C21="Working - Special Holiday on RD",C21="Working - Rest Day",C21="Leave")),BQ20,0)</f>
        <v>0</v>
      </c>
      <c r="CY20" s="93" t="n">
        <f aca="false">IF(AND(C20="Special Holiday",OR(C21="Legal Holiday",C21="Working - Legal Holiday on RD",C21="Working - Special Holiday on RD",C21="Normal",C21="Rest Day",C21="Legal Holiday on RD",C21="Special Holiday on RD",C21="Working - Rest Day",C21="Leave")),BQ20,0)</f>
        <v>0</v>
      </c>
      <c r="CZ20" s="93" t="n">
        <f aca="false">IF(AND(C20="Working - Legal Holiday on RD",OR(C21="Legal Holiday",C21="Special Holiday",C21="Working - Special Holiday on RD",C21="Normal",C21="Rest Day",C21="Special Holiday on RD",C21="Working - Rest Day",C21="Leave")),BQ20,0)</f>
        <v>0</v>
      </c>
      <c r="DA20" s="93" t="n">
        <f aca="false">IF(AND(C20="Working - Special Holiday on RD",OR(C21="Legal Holiday",C21="Special Holiday",C21="Working - Legal Holiday on RD",C21="Normal",C21="Rest Day",C21="Leave",C21="Legal Holiday on RD")),BQ20,0)</f>
        <v>0</v>
      </c>
      <c r="DB20" s="93" t="n">
        <f aca="false">IF(OR(C19="Special Holiday",C19="Working - Legal Holiday on RD",C19="Working - Special Holiday on RD",C19="Legal Holiday"),BQ19,0)</f>
        <v>0</v>
      </c>
      <c r="DC20" s="93" t="n">
        <f aca="false">IF(AND(C20="Working - Rest Day",OR(C19="Special Holiday",C19="Working - Legal Holiday on RD",C19="Working - Special Holiday on RD",C19="Normal",C19="Legal Holiday")),BQ19,0)</f>
        <v>0</v>
      </c>
      <c r="DD20" s="93" t="n">
        <f aca="false">IF(AND(OR(C20="Legal Holiday",C20="Legal Holiday on a Rest Day"),OR(C19="Special Holiday",C19="Working - Legal Holiday on RD",C19="Working - Special Holiday on RD",C19="Normal")),BQ19,0)</f>
        <v>0</v>
      </c>
      <c r="DE20" s="93" t="n">
        <f aca="false">IF(AND(OR(C20="Special Holiday",C20="Special Holiday on RD"),OR(C19="Legal Holiday",C19="Working - Legal Holiday on RD",C19="Working - Special Holiday on RD",C19="Normal")),BQ19,0)</f>
        <v>0</v>
      </c>
      <c r="DF20" s="93" t="n">
        <f aca="false">IF(AND(C20="Working - Legal Holiday on a RD",OR(C19="Legal Holiday",C19="Special Holiday",C19="Working - Special Holiday on RD",C19="Normal")),BQ19,0)</f>
        <v>0</v>
      </c>
      <c r="DG20" s="93" t="n">
        <f aca="false">IF(AND(C20="Working - Special Holiday on RD",OR(C19="Legal Holiday",C19="Special Holiday",C19="Working - Legal Holiday on RD",C19="Normal")),BQ19,0)</f>
        <v>0</v>
      </c>
      <c r="DH20" s="93" t="n">
        <f aca="false">IF(OR(C21="Special Holiday",C21="Working - Legal Holiday on RD",C21="Working - Special Holiday on RD",C21="Legal Holiday",C21="Legal Holiday on RD",C21="Special Holiday on RD",),BO20,0)</f>
        <v>0</v>
      </c>
      <c r="DI20" s="93" t="n">
        <f aca="false">IF(AND(C20="Working - Rest Day",OR(C21="Special Holiday",C21="Working - Legal Holiday on RD",C21="Working - Special Holiday on RD",C21="Legal Holiday",C21="Legal Holiday on RD",C21="Special Holiday on RD",C21="Leave")),BO20,0)</f>
        <v>0</v>
      </c>
      <c r="DJ20" s="93" t="n">
        <f aca="false">IF(AND(C20="Legal Holiday",OR(C21="Special Holiday",C21="Legal Holiday on RD",C21="Special Holiday on RD",C21="Normal",C21="Rest Day",C21="Working - Legal Holiday on RD",C21="Working - Special Holiday on RD",C21="Working - Rest Day",C21="Leave")),BO20,0)</f>
        <v>0</v>
      </c>
      <c r="DK20" s="93" t="n">
        <f aca="false">IF(AND(C20="Special Holiday",OR(C21="Legal Holiday",C21="Working - Legal Holiday on RD",C21="Working - Special Holiday on RD",C21="Normal",C21="Rest Day",C21="Legal Holiday on RD",C21="Special Holiday on RD",C21="Working - Rest Day",C21="Leave")),BO20,0)</f>
        <v>0</v>
      </c>
      <c r="DL20" s="93" t="n">
        <f aca="false">IF(AND(C20="Working - Legal Holiday on RD",OR(C21="Legal Holiday",C21="Special Holiday",C21="Working - Special Holiday on RD",C21="Normal",C21="Rest Day",C21="Special Holiday on RD",C21="Working - Rest Day",C21="Leave")),BO20,0)</f>
        <v>0</v>
      </c>
      <c r="DM20" s="93" t="n">
        <f aca="false">IF(AND(C20="Working - Special Holiday on RD",OR(C21="Legal Holiday",C21="Special Holiday",C21="Working - Legal Holiday on RD",C21="Normal",C21="Rest Day",C21="Leave",C21="Legal Holiday on RD")),BO20,0)</f>
        <v>0</v>
      </c>
      <c r="DN20" s="93" t="n">
        <f aca="false">IF(OR(C19="Special Holiday",C19="Working - Legal Holiday on RD",C19="Working - Special Holiday on RD",C19="Legal Holiday"),BO19,0)</f>
        <v>0</v>
      </c>
      <c r="DO20" s="93" t="n">
        <f aca="false">IF(AND(C20="Working - Rest Day",OR(C19="Special Holiday",C19="Working - Legal Holiday on RD",C19="Working - Special Holiday on RD",C19="Normal",C19="Legal Holiday")),BO19,0)</f>
        <v>0</v>
      </c>
      <c r="DP20" s="93" t="n">
        <f aca="false">IF(AND(OR(C20="Legal Holiday",C20="Legal Holiday on a Rest Day"),OR(C19="Special Holiday",C19="Working - Legal Holiday on RD",C19="Working - Special Holiday on RD",C19="Normal")),BO19,0)</f>
        <v>0</v>
      </c>
      <c r="DQ20" s="93" t="n">
        <f aca="false">IF(AND(OR(C20="Special Holiday",C20="Special Holiday on RD"),OR(C19="Legal Holiday",C19="Working - Legal Holiday on RD",C19="Working - Special Holiday on RD",C19="Normal")),BO19,0)</f>
        <v>0</v>
      </c>
      <c r="DR20" s="93" t="n">
        <f aca="false">IF(AND(C20="Working - Legal Holiday on a RD",OR(C19="Legal Holiday",C19="Special Holiday",C19="Working - Special Holiday on RD",C19="Normal")),BO19,0)</f>
        <v>0</v>
      </c>
      <c r="DS20" s="93" t="n">
        <f aca="false">IF(AND(C20="Working - Special Holiday on RD",OR(C19="Legal Holiday",C19="Special Holiday",C19="Working - Legal Holiday on RD",C19="Normal")),BO19,0)</f>
        <v>0</v>
      </c>
    </row>
    <row r="21" s="6" customFormat="true" ht="14.25" hidden="false" customHeight="true" outlineLevel="0" collapsed="false">
      <c r="A21" s="79" t="n">
        <v>46196</v>
      </c>
      <c r="B21" s="80" t="str">
        <f aca="false">TEXT(WEEKDAY(A21),"ddd")</f>
        <v>Tue</v>
      </c>
      <c r="C21" s="81" t="s">
        <v>4</v>
      </c>
      <c r="D21" s="82" t="n">
        <v>0.354166666666667</v>
      </c>
      <c r="E21" s="79" t="n">
        <v>46196</v>
      </c>
      <c r="F21" s="82" t="n">
        <v>0.8125</v>
      </c>
      <c r="G21" s="82" t="n">
        <v>0.354166666666667</v>
      </c>
      <c r="H21" s="82" t="n">
        <v>0.8125</v>
      </c>
      <c r="I21" s="83" t="n">
        <f aca="false">IFERROR(IF(N21="Strict",IF(C21="Normal",IFERROR(IF((HOUR(IF(AQ21&lt;=AR21,BB21-AR21,BB21-AQ21))+MINUTE(IF(AQ21&lt;=AR21,BB21-AR21,BB21-AQ21))/60)&gt;=6,HOUR(IF(AQ21&lt;=AR21,BB21-AR21,BB21-AQ21))+MINUTE(IF(AQ21&lt;=AR21,BB21-AR21,BB21-AQ21))/60-1,HOUR(IF(AQ21&lt;=AR21,BB21-AR21,BB21-AQ21))+MINUTE(IF(AQ21&lt;=AR21,BB21-AR21,BB21-AQ21))/60),0),0),IF(N21="Flexi",IF(C21="Normal",IF((HOUR(BB21-AR21)+MINUTE(BB21-AR21)/60)&gt;=6,(HOUR(BB21-AR21)+MINUTE(BB21-AR21)/60)-1,(HOUR(BB21-AR21)+MINUTE(BB21-AR21)/60)),0),0)),0)</f>
        <v>0</v>
      </c>
      <c r="J21" s="82"/>
      <c r="K21" s="79"/>
      <c r="L21" s="84"/>
      <c r="M21" s="79"/>
      <c r="N21" s="79" t="s">
        <v>2</v>
      </c>
      <c r="O21" s="85"/>
      <c r="P21" s="79"/>
      <c r="Q21" s="86" t="s">
        <v>110</v>
      </c>
      <c r="R21" s="87" t="n">
        <f aca="false">IF(AND(C21="Normal",I21&gt;0),(8-S21),0)-IF(AND(C21="Normal",OR(C22="Special Holiday",C22="Working - Legal Holiday on RD",C22="Working - Special Holiday on RD",C22="Legal Holiday",C22="Legal Holiday on RD",C22="Special Holiday on RD")),BN21,0)+IF(AND(OR(C21="Normal",C21="Leave",C21="Rest Day"),OR(C20="Special Holiday",C20="Working - Legal Holiday on RD",C20="Working - Special Holiday on RD",C20="Legal Holiday")),BN20,0)</f>
        <v>0</v>
      </c>
      <c r="S21" s="87" t="n">
        <f aca="false">IF(C21="Normal",IF(P21="Remain Lates",(IFERROR(IF(N21="Strict",IF(C21="Normal",IF(AQ21&lt;=AR21,HOUR(AR21-AQ21)+(MINUTE(AR21-AQ21)/60),0)+IF(BB21&lt;=BC21,HOUR(BC21-BB21)+(MINUTE(BC21-BB21)/60),0),0),IF(I21=0,0,(8-I21))),0)-(O21/60)),IF((O21/60)&gt;=IFERROR(IF(N21="Strict",IF(C21="Normal",IF(AQ21&lt;=AR21,HOUR(AR21-AQ21)+(MINUTE(AR21-AQ21)/60),0)+IF(BB21&lt;=BC21,HOUR(BC21-BB21)+(MINUTE(BC21-BB21)/60),0),0),IF(I21=0,0,(8-I21))),0),0,IFERROR(IF(N21="Strict",IF(C21="Normal",IF(AQ21&lt;=AR21,HOUR(AR21-AQ21)+(MINUTE(AR21-AQ21)/60),0)+IF(BB21&lt;=BC21,HOUR(BC21-BB21)+(MINUTE(BC21-BB21)/60),0),0),IF(I21=0,0,(8-I21))),0))),0)</f>
        <v>0</v>
      </c>
      <c r="T21" s="88" t="n">
        <f aca="false">IF(AND(C21="Working - Rest Day",BW21&gt;0),(8-IF(BV21&gt;6,BV21-1,BV21)),0)-IF(AND(C21="Working - Rest Day",OR(C22="Special Holiday",C22="Working - Legal Holiday on RD",C22="Working - Special Holiday on RD",C22="Legal Holiday",C22="Legal Holiday on RD",C22="Special Holiday on RD")),BN21,0)+IF(AND(C21="Working - Rest Day",OR(C20="Special Holiday",C20="Working - Legal Holiday on RD",C20="Working - Special Holiday on RD",C20="Legal Holiday")),BN20,0)</f>
        <v>0</v>
      </c>
      <c r="U21" s="88" t="n">
        <f aca="false">IF(AND(C21="Legal Holiday",BW21&gt;0),(8-IF(BV21&gt;6,BV21-1,BV21)),0)-IF(AND(C21="Legal Holiday",OR(C22="Special Holiday",C22="Legal Holiday on RD",C22="Special Holiday on RD",C22="Normal",C22="Rest Day",C22="Working - Legal Holiday on RD",C22="Working - Special Holiday on RD",C22="Working - Rest Day",C22="Leave")),BN21,0)+IF(AND(OR(C21="Legal Holiday",C21="Legal Holiday on RD"),OR(C20="Special Holiday",C20="Working - Legal Holiday on RD",C20="Working - Special Holiday on RD",C20="Normal",C20="Working - Rest Day")),BN20,0)</f>
        <v>0</v>
      </c>
      <c r="V21" s="88" t="n">
        <f aca="false">IF(AND(C21="Special Holiday",BW21&gt;0),(8-IF(BV21&gt;6,BV21-1,BV21)),0)-IF(AND(C21="Special Holiday",OR(C22="Legal Holiday",C22="Working - Legal Holiday on RD",C22="Working - Special Holiday on RD",C22="Normal",C22="Rest Day",C22="Legal Holiday on RD",C22="Special Holiday on RD",C22="Working - Rest Day",C22="Leave")),BN21,0)+IF(AND(OR(C21="Special Holiday",C21="Special Holiday on RD"),OR(C20="Legal Holiday",C20="Working - Legal Holiday on RD",C20="Working - Special Holiday on RD",C20="Working - Rest Day",C20="Normal")),BN20,0)</f>
        <v>0</v>
      </c>
      <c r="W21" s="88" t="n">
        <f aca="false">IF(AND(C21="Working - Legal Holiday on RD",BW21&gt;0),(8-IF(BV21&gt;6,BV21-1,BV21)),0)-IF(AND(C21="Working - Legal Holiday on RD",OR(C22="Legal Holiday",C22="Special Holiday",C22="Working - Special Holiday on RD",C22="Normal",C22="Rest Day",C22="Special Holiday on RD",C22="Working - Rest Day",C22="Leave")),BN21,0)+IF(AND(C21="Working - Legal Holiday on RD",OR(C20="Legal Holiday",C20="Special Holiday",C20="Working - Special Holiday on RD",C20="Working - Rest Day",C20="Normal")),BN20,0)</f>
        <v>0</v>
      </c>
      <c r="X21" s="88" t="n">
        <f aca="false">IF(AND(C21="Working - Special Holiday on RD",BW21&gt;0),(8-IF(BV21&gt;6,BV21-1,BV21)),0)-IF(AND(C21="Working - Special Holiday on RD",OR(C22="Legal Holiday",C22="Special Holiday",C22="Working - Legal Holiday on RD",C22="Normal",C22="Rest Day",C22="Leave",C22="Working - Rest Day",C22="Legal Holiday on RD")),BN21,0)+IF(AND(C21="Working - Special Holiday on RD",OR(C20="Legal Holiday",C20="Special Holiday",C20="Working - Legal Holiday on RD",C20="Normal",C20="Working - Rest Day")),BN20,0)</f>
        <v>0</v>
      </c>
      <c r="Y21" s="88" t="n">
        <f aca="false">IFERROR(IF(C21="Normal",HOUR(AY21-AV21)+MINUTE(AY21-AV21)/60,0),0)-IFERROR(IF(C21="Normal",HOUR(BA21-AX21)+MINUTE(BA21-AX21)/60,0),0)-IF(AND(C21="Normal",OR(C22="Special Holiday",C22="Working - Legal Holiday on RD",C22="Working - Special Holiday on RD",C22="Legal Holiday",C22="Legal Holiday on RD",C22="Special Holiday on RD")),BP21,0)+IF(AND(OR(C21="Normal",C21="Rest Day",C21="Leave"),OR(C20="Special Holiday",C20="Working - Legal Holiday on RD",C20="Working - Special Holiday on RD",C20="Legal Holiday")),BP20,0)</f>
        <v>0</v>
      </c>
      <c r="Z21" s="88" t="n">
        <f aca="false">IFERROR(IF(C21="Working - Rest Day",HOUR(AY21-AV21)+MINUTE(AY21-AV21)/60,0),0)-IFERROR(IF(C21="Working - Rest Day",HOUR(BA21-AX21)+MINUTE(BA21-AX21)/60,0),0)-IF(AND(C21="Working - Rest Day",OR(C22="Special Holiday",C22="Working - Legal Holiday on RD",C22="Working - Special Holiday on RD",C22="Legal Holiday",C22="Legal Holiday on RD",C22="Special Holiday on RD")),BP21,0)+IF(AND(C21="Working - Rest Day",OR(C20="Special Holiday",C20="Working - Legal Holiday on RD",C20="Working - Special Holiday on RD",C20="Legal Holiday")),BP20,0)</f>
        <v>0</v>
      </c>
      <c r="AA21" s="88" t="n">
        <f aca="false">IFERROR(IF(C21="Legal Holiday",HOUR(AY21-AV21)+MINUTE(AY21-AV21)/60,0),0)-IFERROR(IF(C21="Legal Holiday",HOUR(BA21-AX21)+MINUTE(BA21-AX21)/60,0),0)-IF(AND(C21="Legal Holiday",OR(C22="Special Holiday",C22="Legal Holiday on RD",C22="Special Holiday on RD",C22="Normal",C22="Rest Day",C22="Working - Legal Holiday on RD",C22="Working - Special Holiday on RD",C22="Working - Rest Day",C22="Leave")),BP21,0)+IF(AND(OR(C21="Legal Holiday",C21="Legal Holiday on RD"),OR(C20="Special Holiday",C20="Working - Legal Holiday on RD",C20="Working - Special Holiday on RD",C20="Normal",C20="Working - Rest Day")),BP20,0)</f>
        <v>0</v>
      </c>
      <c r="AB21" s="88" t="n">
        <f aca="false">IFERROR(IF(C21="Special Holiday",HOUR(AY21-AV21)+MINUTE(AY21-AV21)/60,0),0)-IFERROR(IF(C21="Special Holiday",HOUR(BA21-AX21)+MINUTE(BA21-AX21)/60,0),0)-IF(AND(C21="Special Holiday",OR(C22="Legal Holiday",C22="Working - Legal Holiday on RD",C22="Working - Special Holiday on RD",C22="Normal",C22="Rest Day",C22="Legal Holiday on RD",C22="Special Holiday on RD",C22="Working - Rest Day",C22="Leave")),BP21,0)+IF(AND(OR(C21="Special Holiday",C21="Special Holiday on RD"),OR(C20="Legal Holiday",C20="Working - Legal Holiday on RD",C20="Working - Special Holiday on RD",C20="Normal",C20="Working - Rest Day")),BP20,0)</f>
        <v>0</v>
      </c>
      <c r="AC21" s="88" t="n">
        <f aca="false">IFERROR(IF(C21="Working - Legal Holiday on RD",HOUR(AY21-AV21)+MINUTE(AY21-AV21)/60,0),0)-IFERROR(IF(C21="Working - Legal Holiday on RD",HOUR(BA21-AX21)+MINUTE(BA21-AX21)/60,0),0)-IF(AND(C21="Working - Legal Holiday on RD",OR(C22="Legal Holiday",C22="Special Holiday",C22="Working - Special Holiday on RD",C22="Normal",C22="Rest Day",C22="Special Holiday on RD",C22="Working - Rest Day",C22="Leave")),BP21,0)+IF(AND(C21="Working - Legal Holiday on RD",OR(C20="Legal Holiday",C20="Special Holiday",C20="Working - Special Holiday on RD",C20="Normal",C20="Working - Rest Day")),BP20,0)</f>
        <v>0</v>
      </c>
      <c r="AD21" s="88" t="n">
        <f aca="false">IFERROR(IF(C21="Working - Special Holiday on RD",HOUR(AY21-AV21)+MINUTE(AY21-AV21)/60,0),0)-IFERROR(IF(C21="Working - Special Holiday on RD",HOUR(BA21-AX21)+MINUTE(BA21-AX21)/60,0),0)-IF(AND(C21="Working - Special Holiday on RD",OR(C22="Legal Holiday",C22="Special Holiday",C22="Working - Legal Holiday on RD",C22="Normal",C22="Rest Day",C22="Working - Rest Day",C22="Leave",C22="Legal Holiday on RD")),BP21,0)+IF(AND(C21="Working - Special Holiday on RD",OR(C20="Legal Holiday",C20="Special Holiday",C20="Working - Legal Holiday on RD",C20="Normal",C20="Working - Rest Day")),BP20,0)</f>
        <v>0</v>
      </c>
      <c r="AE21" s="88" t="n">
        <f aca="false">IFERROR(IF(C21="Normal",HOUR(BA21-AX21)+MINUTE(BA21-AX21)/60,0),0)-IF(AND(C21="Normal",OR(C22="Special Holiday",C22="Working - Legal Holiday on RD",C22="Working - Special Holiday on RD",C22="Legal Holiday",C22="Legal Holiday on RD",C22="Special Holiday on RD")),BQ21,0)+IF(AND(OR(C21="Normal",C21="Rest Day",C21="Leave"),OR(C20="Special Holiday",C20="Working - Legal Holiday on RD",C20="Working - Special Holiday on RD",C20="Legal Holiday")),BQ20,0)</f>
        <v>0</v>
      </c>
      <c r="AF21" s="88" t="n">
        <f aca="false">IFERROR(IF(C21="Working - Rest Day",HOUR(BA21-AX21)+MINUTE(BA21-AX21)/60,0),0)-IF(AND(C21="Working - Rest Day",OR(C22="Special Holiday",C22="Working - Legal Holiday on RD",C22="Working - Special Holiday on RD",C22="Legal Holiday",C22="Legal Holiday on RD",C22="Special Holiday on RD")),BQ21,0)+IF(AND(C21="Working - Rest Day",OR(C20="Special Holiday",C20="Working - Legal Holiday on RD",C20="Working - Special Holiday on RD",C20="Legal Holiday")),BQ20,0)</f>
        <v>0</v>
      </c>
      <c r="AG21" s="88" t="n">
        <f aca="false">IFERROR(IF(C21="Legal Holiday",HOUR(BA21-AX21)+MINUTE(BA21-AX21)/60,0),0)-IF(AND(C21="Legal Holiday",OR(C22="Special Holiday",C22="Legal Holiday on RD",C22="Special Holiday on RD",C22="Normal",C22="Rest Day",C22="Working - Legal Holiday on RD",C22="Working - Special Holiday on RD",C22="Working - Rest Day",C22="Leave")),BQ21,0)+IF(AND(OR(C21="Legal Holiday",C21="Legal Holiday on RD"),OR(C20="Special Holiday",C20="Working - Legal Holiday on RD",C20="Working - Special Holiday on RD",C20="Normal",C20="Working - Rest Day")),BQ20,0)</f>
        <v>0</v>
      </c>
      <c r="AH21" s="88" t="n">
        <f aca="false">IFERROR(IF(C21="Special Holiday",HOUR(BA21-AX21)+MINUTE(BA21-AX21)/60,0),0)-IF(AND(C21="Special Holiday",OR(C22="Legal Holiday",C22="Working - Legal Holiday on RD",C22="Working - Special Holiday on RD",C22="Normal",C22="Rest Day",C22="Legal Holiday on RD",C22="Special Holiday on RD",C22="Working - Rest Day",C22="Leave")),BQ21,0)+IF(AND(OR(C21="Special Holiday",C21="Special Holiday on RD"),OR(C20="Legal Holiday",C20="Working - Legal Holiday on RD",C20="Working - Special Holiday on RD",C20="Normal",C20="Working - Rest Day")),BQ20,0)</f>
        <v>0</v>
      </c>
      <c r="AI21" s="88" t="n">
        <f aca="false">IFERROR(IF(C21="Working - Legal Holiday on RD",HOUR(BA21-AX21)+MINUTE(BA21-AX21)/60,0),0)-IF(AND(C21="Working - Legal Holiday on RD",OR(C22="Legal Holiday",C22="Special Holiday",C22="Working - Special Holiday on RD",C22="Normal",C22="Rest Day",C22="Special Holiday on RD",C22="Working - Rest Day",C22="Leave")),BQ21,0)+IF(AND(C21="Working - Legal Holiday on RD",OR(C20="Legal Holiday",C20="Special Holiday",C20="Working - Special Holiday on RD",C20="Normal",C20="Working - Rest Day")),BQ20,0)</f>
        <v>0</v>
      </c>
      <c r="AJ21" s="88" t="n">
        <f aca="false">IFERROR(IF(C21="Working - Special Holiday on RD",HOUR(BA21-AX21)+MINUTE(BA21-AX21)/60,0),0)-IF(AND(C21="Working - Special Holiday on RD",OR(C22="Legal Holiday",C22="Special Holiday",C22="Working - Legal Holiday on RD",C22="Normal",C22="Rest Day",C22="Working - Rest Day",C22="Leave",C22="Legal Holiday on RD")),BQ21,0)+IF(AND(C21="Working - Special Holiday on RD",OR(C20="Legal Holiday",C20="Special Holiday",C20="Working - Legal Holiday on RD",C20="Normal",C20="Working - Rest Day")),BQ20,0)</f>
        <v>0</v>
      </c>
      <c r="AK21" s="88" t="n">
        <f aca="false">IFERROR(IF(C21="Normal",HOUR(BF21-AU21)+(MINUTE(BF21-AU21)/60),0),0)-IF(AND(C21="Normal",OR(C22="Special Holiday",C22="Working - Legal Holiday on RD",C22="Working - Special Holiday on RD",C22="Legal Holiday",C22="Legal Holiday on RD",C22="Special Holiday on RD")),BO21,0)+IF(AND(OR(C21="Normal",C21="Rest Day",C21="Leave"),OR(C20="Special Holiday",C20="Working - Legal Holiday on RD",C20="Working - Special Holiday on RD",C20="Legal Holiday")),BO20,0)</f>
        <v>0</v>
      </c>
      <c r="AL21" s="88" t="n">
        <f aca="false">IFERROR(IF(C21="Working - Rest Day",HOUR(BF21-AU21)+(MINUTE(BF21-AU21)/60),0),0)-IF(AND(C21="Working - Rest Day",OR(C22="Special Holiday",C22="Working - Legal Holiday on RD",C22="Working - Special Holiday on RD",C22="Legal Holiday",C22="Legal Holiday on RD",C22="Special Holiday on RD")),BO21,0)+IF(AND(C21="Working - Rest Day",OR(C20="Special Holiday",C20="Working - Legal Holiday on RD",C20="Working - Special Holiday on RD",C20="Legal Holiday")),BO20,0)</f>
        <v>0</v>
      </c>
      <c r="AM21" s="88" t="n">
        <f aca="false">IFERROR(IF(C21="Legal Holiday",HOUR(BF21-AU21)+(MINUTE(BF21-AU21)/60),0),0)-IF(AND(C21="Legal Holiday",OR(C22="Special Holiday",C22="Legal Holiday on RD",C22="Special Holiday on RD",C22="Normal",C22="Rest Day",C22="Working - Legal Holiday on RD",C22="Working - Special Holiday on RD",C22="Working - Rest Day",C22="Leave")),BO21,0)+IF(AND(OR(C21="Legal Holiday",C21="Legal Holiday on RD"),OR(C20="Special Holiday",C20="Working - Legal Holiday on RD",C20="Working - Special Holiday on RD",C20="Normal",C20="Working - Rest Day")),BO20,0)</f>
        <v>0</v>
      </c>
      <c r="AN21" s="88" t="n">
        <f aca="false">IFERROR(IF(C21="Special Holiday",HOUR(BF21-AU21)+(MINUTE(BF21-AU21)/60),0),0)-IF(AND(C21="Special Holiday",OR(C22="Legal Holiday",C22="Working - Legal Holiday on RD",C22="Working - Special Holiday on RD",C22="Normal",C22="Rest Day",C22="Legal Holiday on RD",C22="Special Holiday on RD",C22="Working - Rest Day",C22="Leave")),BO21,0)+IF(AND(OR(C21="Special Holiday",C21="Special Holiday on RD"),OR(C20="Legal Holiday",C20="Working - Legal Holiday on RD",C20="Working - Special Holiday on RD",C20="Normal",C20="Working - Rest Day")),BO20,0)</f>
        <v>0</v>
      </c>
      <c r="AO21" s="88" t="n">
        <f aca="false">IFERROR(IF(C21="Working - Legal Holiday on RD",HOUR(BF21-AU21)+(MINUTE(BF21-AU21)/60),0),0)-IF(AND(C21="Working - Legal Holiday on RD",OR(C22="Legal Holiday",C22="Special Holiday",C22="Working - Special Holiday on RD",C22="Normal",C22="Rest Day",C22="Special Holiday on RD",C22="Working - Rest Day",C22="Leave")),BO21,0)+IF(AND(C21="Working - Legal Holiday on RD",OR(C20="Legal Holiday",C20="Special Holiday",C20="Working - Special Holiday on RD",C20="Normal",C20="Working - Rest Day")),BO20,0)</f>
        <v>0</v>
      </c>
      <c r="AP21" s="88" t="n">
        <f aca="false">IFERROR(IF(C21="Working - Special Holiday on RD",HOUR(BF21-AU21)+(MINUTE(BF21-AU21)/60),0),0)-IF(AND(C21="Working - Special Holiday on RD",OR(C22="Legal Holiday",C22="Special Holiday",C22="Working - Legal Holiday on RD",C22="Normal",C22="Rest Day",C22="Working - Rest Day",C22="Leave",C22="Legal Holiday on RD")),BO21,0)+IF(AND(C21="Working - Special Holiday on RD",OR(C20="Legal Holiday",C20="Special Holiday",C20="Working - Legal Holiday on RD",C20="Normal",C20="Working - Rest Day")),BO20,0)</f>
        <v>0</v>
      </c>
      <c r="AQ21" s="89" t="str">
        <f aca="false">TEXT(D21,"HH:MM")&amp;" "&amp;TEXT(A21,"DD-mmm-YY")</f>
        <v>08:30 23-Jun-26</v>
      </c>
      <c r="AR21" s="89" t="str">
        <f aca="false">TEXT(G21,"HH:MM")&amp;" "&amp;TEXT(A21,"DD-mmm-YY")</f>
        <v>08:30 23-Jun-26</v>
      </c>
      <c r="AS21" s="60" t="str">
        <f aca="false">IF($AR$1&lt;D21,AR21,IF(AT21&lt;=AR21,AR21,AT21))</f>
        <v>22:00 23-Jun-26</v>
      </c>
      <c r="AT21" s="60" t="str">
        <f aca="false">IF(AND(D21&gt;=0,D21&lt;0.25),TEXT($AR$1,"HH:MM")&amp;" "&amp;TEXT((A21-1),"dd-mmm-yy"),TEXT($AR$1,"HH:MM")&amp;" "&amp;TEXT(A21,"dd-mmm-yy"))</f>
        <v>22:00 23-Jun-26</v>
      </c>
      <c r="AU21" s="40" t="e">
        <f aca="false" t="array" ref="AU21:AU21">MAX(AQ21:AS21+0)</f>
        <v>#VALUE!</v>
      </c>
      <c r="AV21" s="60" t="str">
        <f aca="false">TEXT(J21,"HH:MM")&amp;" "&amp;TEXT(K21,"DD-mmm-YY")</f>
        <v>00:00 00-Jan-00</v>
      </c>
      <c r="AW21" s="60" t="str">
        <f aca="false">IF(K21&lt;A21,TEXT($AR$1,"HH:MM")&amp;" "&amp;TEXT((A21-1),"dd-mmm-yy"),IF(AND(D21&gt;0,D21&lt;0.25,L21&lt;0.916666666666667,A21&lt;M21),TEXT($AR$1,"HH:MM")&amp;" "&amp;TEXT((A21-1),"dd-mmm-yy"),TEXT($AR$1,"HH:MM")&amp;" "&amp;TEXT(A21,"dd-mmm-yy")))</f>
        <v>22:00 22-Jun-26</v>
      </c>
      <c r="AX21" s="40" t="e">
        <f aca="false" t="array" ref="AX21:AX21">MAX(AV21:AW21+0)</f>
        <v>#VALUE!</v>
      </c>
      <c r="AY21" s="60" t="str">
        <f aca="false">TEXT(L21,"HH:MM")&amp;" "&amp;TEXT(M21,"DD-mmm-YY")</f>
        <v>00:00 00-Jan-00</v>
      </c>
      <c r="AZ21" s="60" t="str">
        <f aca="false">IF(AND(D21&gt;=0,D21&lt;0.25,L21&lt;0.916666666666667,A21&gt;M21),TEXT($AR$2,"HH:MM")&amp;" "&amp;TEXT(A21,"DD-mmm-YY"),TEXT($AR$2,"HH:MM")&amp;" "&amp;TEXT((A21+1),"DD-mmm-YY"))</f>
        <v>06:00 24-Jun-26</v>
      </c>
      <c r="BA21" s="40" t="e">
        <f aca="false" t="array" ref="BA21:BA21">MIN(AY21:AZ21+0)</f>
        <v>#VALUE!</v>
      </c>
      <c r="BB21" s="60" t="str">
        <f aca="false">IF(G21&gt;H21,TEXT(H21,"HH:MM")&amp;" "&amp;TEXT(E21,"DD-mmm-YY"),IF(H21&gt;1,TEXT(H21,"HH:MM")&amp;" "&amp;TEXT(E21,"DD-mmm-YY"),TEXT(H21,"HH:MM")&amp;" "&amp;TEXT(A21,"DD-mmm-YY")))</f>
        <v>19:30 23-Jun-26</v>
      </c>
      <c r="BC21" s="60" t="str">
        <f aca="false">IF(N21="Flexi",TEXT(G21+$BC$1,"HH:MM")&amp;" "&amp;TEXT(E21,"DD-mmm-YY"),TEXT(F21,"HH:MM")&amp;" "&amp;TEXT(E21,"DD-mmm-YY"))</f>
        <v>19:30 23-Jun-26</v>
      </c>
      <c r="BD21" s="90" t="e">
        <f aca="false" t="array" ref="BD21:BD21">MIN(BB21:BC21+0)</f>
        <v>#VALUE!</v>
      </c>
      <c r="BE21" s="60" t="str">
        <f aca="false">IF(D21&gt;0.25,TEXT($AR$2,"HH:MM")&amp;" "&amp;TEXT(IF(BG21&lt;H21,A21+1,E21),"DD-mmm-YY"),IF(D21&gt;=0,TEXT($AR$2,"HH:MM")&amp;" "&amp;TEXT(IF(BG21&lt;H21,A21+1,E21)-1,"DD-mmm-YY"),TEXT($AR$2,"HH:MM")&amp;" "&amp;TEXT(IF(BG21&lt;H21,A21+1,E21),"DD-mmm-YY")))</f>
        <v>06:00 24-Jun-26</v>
      </c>
      <c r="BF21" s="40" t="e">
        <f aca="false" t="array" ref="BF21:BF21">IF(N21="Flexi",IF(AND(BB21&gt;BC21,BB21&lt;BE21),BB21,MIN(BB21:BE21+0)),MIN(BB21:BE21+0))</f>
        <v>#VALUE!</v>
      </c>
      <c r="BG21" s="7" t="n">
        <v>0</v>
      </c>
      <c r="BH21" s="9" t="str">
        <f aca="false">TEXT(BG21,"HH:MM")&amp;" "&amp;TEXT(A21+1,"DD-mmm-YY")</f>
        <v>00:00 24-Jun-26</v>
      </c>
      <c r="BI21" s="9" t="str">
        <f aca="false">AV21</f>
        <v>00:00 00-Jan-00</v>
      </c>
      <c r="BJ21" s="91" t="e">
        <f aca="false" t="array" ref="BJ21:BJ21">MAX(BH21:BI21+0)</f>
        <v>#VALUE!</v>
      </c>
      <c r="BK21" s="9" t="str">
        <f aca="false">TEXT($AR$2,"HH:MM")&amp;" "&amp;TEXT(A21+1,"DD-mmm-YY")</f>
        <v>06:00 24-Jun-26</v>
      </c>
      <c r="BL21" s="9" t="str">
        <f aca="false">AY21</f>
        <v>00:00 00-Jan-00</v>
      </c>
      <c r="BM21" s="91" t="e">
        <f aca="false" t="array" ref="BM21:BM21">MIN(BK21:BL21+0)</f>
        <v>#VALUE!</v>
      </c>
      <c r="BN21" s="13" t="n">
        <f aca="false">IF(IFERROR(IF(E21&gt;A21,IF(BD21&gt;=BD21,HOUR(BD21-BH21)+MINUTE(BD21-BH21)/60,0),0),0)&gt;5,(IFERROR(IF(E21&gt;A21,IF(BD21&gt;=BD21,HOUR(BD21-BH21)+MINUTE(BD21-BH21)/60,0),0),0)-1),IFERROR(IF(E21&gt;A21,IF(BD21&gt;=BD21,HOUR(BD21-BH21)+MINUTE(BD21-BH21)/60,0),0),0))</f>
        <v>0</v>
      </c>
      <c r="BO21" s="13" t="n">
        <f aca="false">IFERROR(IF(E21&gt;A21,HOUR(BF21-BH21)+MINUTE(BF21-BH21)/60,0),0)</f>
        <v>0</v>
      </c>
      <c r="BP21" s="92" t="n">
        <f aca="false">IF(AND(A21&lt;M21,L21&gt;0.25,L21&lt;=0.916666666666667,J21&gt;=0.25),IFERROR(HOUR(AY21-AV21)+MINUTE(AY21-AV21)/60,0),IFERROR(HOUR(AY21-BK21)+MINUTE(AY21-BK21)/60,0))</f>
        <v>0</v>
      </c>
      <c r="BQ21" s="13" t="n">
        <f aca="false">IFERROR(HOUR(BM21-BJ21)+MINUTE(BM21-BJ21)/60,0)</f>
        <v>0</v>
      </c>
      <c r="BR21" s="13" t="n">
        <f aca="false">IF(AND(C21=C21,BW21&gt;0),(8-BV21),0)-BN21</f>
        <v>0</v>
      </c>
      <c r="BS21" s="13" t="n">
        <f aca="false">IFERROR(IF(C21=C21,HOUR(BF21-AU21)+(MINUTE(BF21-AU21)/60),0),0)-BO21</f>
        <v>0</v>
      </c>
      <c r="BT21" s="92" t="n">
        <f aca="false">IFERROR(IF(C21=C21,HOUR(AY21-AV21)+MINUTE(AY21-AV21)/60,0),0)-IFERROR(IF(C21=C21,HOUR(BA21-AX21)+MINUTE(BA21-AX21)/60,0),0)-BP21</f>
        <v>0</v>
      </c>
      <c r="BU21" s="13" t="n">
        <f aca="false">IFERROR(IF(C21=C21,HOUR(BA21-AX21)+MINUTE(BA21-AX21)/60,0),0)-BQ21</f>
        <v>0</v>
      </c>
      <c r="BV21" s="13" t="n">
        <f aca="false">IF(C21=C21,IF(P21="Remain Lates",(IFERROR(IF(N21="Strict",IF(C21=C21,IF(AQ21&lt;=AR21,HOUR(AR21-AQ21)+(MINUTE(AR21-AQ21)/60),0)+IF(BB21&lt;=BC21,HOUR(BC21-BB21)+(MINUTE(BC21-BB21)/60),0),0),IF(BW21=0,0,(8-BW21))),0)-(O21/60)),IF((O21/60)&gt;=IFERROR(IF(N21="Strict",IF(C21=C21,IF(AQ21&lt;=AR21,HOUR(AR21-AQ21)+(MINUTE(AR21-AQ21)/60),0)+IF(BB21&lt;=BC21,HOUR(BC21-BB21)+(MINUTE(BC21-BB21)/60),0),0),IF(BW21=0,0,(8-BW21))),0),0,IFERROR(IF(N21="Strict",IF(C21=C21,IF(AQ21&lt;=AR21,HOUR(AR21-AQ21)+(MINUTE(AR21-AQ21)/60),0)+IF(BB21&lt;=BC21,HOUR(BC21-BB21)+(MINUTE(BC21-BB21)/60),0),0),IF(BW21=0,0,(8-BW21))),0))),0)</f>
        <v>0</v>
      </c>
      <c r="BW21" s="13" t="n">
        <f aca="false">IFERROR(IF(N21="Strict",IF(C21=C21,IFERROR(IF((HOUR(IF(AQ21&lt;=AR21,BB21-AR21,BB21-AQ21))+MINUTE(IF(AQ21&lt;=AR21,BB21-AR21,BB21-AQ21))/60)&gt;=6,HOUR(IF(AQ21&lt;=AR21,BB21-AR21,BB21-AQ21))+MINUTE(IF(AQ21&lt;=AR21,BB21-AR21,BB21-AQ21))/60-1,HOUR(IF(AQ21&lt;=AR21,BB21-AR21,BB21-AQ21))+MINUTE(IF(AQ21&lt;=AR21,BB21-AR21,BB21-AQ21))/60),0),0),IF(N21="Flexi",IF(C21=C21,IF((HOUR(BB21-AR21)+MINUTE(BB21-AR21)/60)&gt;=6,(HOUR(BB21-AR21)+MINUTE(BB21-AR21)/60)-1,(HOUR(BB21-AR21)+MINUTE(BB21-AR21)/60)),0),0)),0)</f>
        <v>0</v>
      </c>
      <c r="BX21" s="93" t="n">
        <f aca="false">IF(OR(C22="Special Holiday",C22="Working - Legal Holiday on RD",C22="Working - Special Holiday on RD",C22="Legal Holiday",C22="Legal Holiday on RD",C22="Special Holiday on RD",),BN21,0)</f>
        <v>0</v>
      </c>
      <c r="BY21" s="93" t="n">
        <f aca="false">IF(AND(C21="Working - Rest Day",OR(C22="Special Holiday",C22="Working - Legal Holiday on RD",C22="Working - Special Holiday on RD",C22="Legal Holiday",C22="Legal Holiday on RD",C22="Special Holiday on RD",C22="Leave")),BN21,0)</f>
        <v>0</v>
      </c>
      <c r="BZ21" s="93" t="n">
        <f aca="false">IF(AND(C21="Legal Holiday",OR(C22="Special Holiday",C22="Legal Holiday on RD",C22="Special Holiday on RD",C22="Normal",C22="Rest Day",C22="Working - Legal Holiday on RD",C22="Working - Special Holiday on RD",C22="Working - Rest Day",C22="Leave")),BN21,0)</f>
        <v>0</v>
      </c>
      <c r="CA21" s="93" t="n">
        <f aca="false">IF(AND(C21="Special Holiday",OR(C22="Legal Holiday",C22="Working - Legal Holiday on RD",C22="Working - Special Holiday on RD",C22="Normal",C22="Rest Day",C22="Legal Holiday on RD",C22="Special Holiday on RD",C22="Working - Rest Day",C22="Leave")),BN21,0)</f>
        <v>0</v>
      </c>
      <c r="CB21" s="93" t="n">
        <f aca="false">IF(AND(C21="Working - Legal Holiday on RD",OR(C22="Legal Holiday",C22="Special Holiday",C22="Working - Special Holiday on RD",C22="Normal",C22="Rest Day",C22="Special Holiday on RD",C22="Working - Rest Day",C22="Leave")),BN21,0)</f>
        <v>0</v>
      </c>
      <c r="CC21" s="93" t="n">
        <f aca="false">IF(AND(C21="Working - Special Holiday on RD",OR(C22="Legal Holiday",C22="Special Holiday",C22="Working - Legal Holiday on RD",C22="Normal",C22="Rest Day",C22="Leave",C22="Legal Holiday on RD")),BN21,0)</f>
        <v>0</v>
      </c>
      <c r="CD21" s="93" t="n">
        <f aca="false">IF(OR(C20="Special Holiday",C20="Working - Legal Holiday on RD",C20="Working - Special Holiday on RD",C20="Legal Holiday"),BN20,0)</f>
        <v>0</v>
      </c>
      <c r="CE21" s="93" t="n">
        <f aca="false">IF(AND(C21="Working - Rest Day",OR(C20="Special Holiday",C20="Working - Legal Holiday on RD",C20="Working - Special Holiday on RD",C20="Normal",C20="Legal Holiday")),BN20,0)</f>
        <v>0</v>
      </c>
      <c r="CF21" s="93" t="n">
        <f aca="false">IF(AND(OR(C21="Legal Holiday",C21="Legal Holiday on a Rest Day"),OR(C20="Special Holiday",C20="Working - Legal Holiday on RD",C20="Working - Special Holiday on RD",C20="Normal")),BN20,0)</f>
        <v>0</v>
      </c>
      <c r="CG21" s="93" t="n">
        <f aca="false">IF(AND(OR(C21="Special Holiday",C21="Special Holiday on RD"),OR(C20="Legal Holiday",C20="Working - Legal Holiday on RD",C20="Working - Special Holiday on RD",C20="Normal")),BN20,0)</f>
        <v>0</v>
      </c>
      <c r="CH21" s="93" t="n">
        <f aca="false">IF(AND(C21="Working - Legal Holiday on a RD",OR(C20="Legal Holiday",C20="Special Holiday",C20="Working - Special Holiday on RD",C20="Normal")),BN20,0)</f>
        <v>0</v>
      </c>
      <c r="CI21" s="93" t="n">
        <f aca="false">IF(AND(C21="Working - Special Holiday on RD",OR(C20="Legal Holiday",C20="Special Holiday",C20="Working - Legal Holiday on RD",C20="Normal")),BN20,0)</f>
        <v>0</v>
      </c>
      <c r="CJ21" s="93" t="n">
        <f aca="false">IF(OR(C22="Special Holiday",C22="Working - Legal Holiday on RD",C22="Working - Special Holiday on RD",C22="Legal Holiday",C22="Legal Holiday on RD",C22="Special Holiday on RD",),BP21,0)</f>
        <v>0</v>
      </c>
      <c r="CK21" s="93" t="n">
        <f aca="false">IF(AND(C21="Working - Rest Day",OR(C22="Special Holiday",C22="Working - Legal Holiday on RD",C22="Working - Special Holiday on RD",C22="Legal Holiday",C22="Legal Holiday on RD",C22="Special Holiday on RD",C22="Leave")),BP21,0)</f>
        <v>0</v>
      </c>
      <c r="CL21" s="93" t="n">
        <f aca="false">IF(AND(C21="Legal Holiday",OR(C22="Special Holiday",C22="Legal Holiday on RD",C22="Special Holiday on RD",C22="Normal",C22="Rest Day",C22="Working - Legal Holiday on RD",C22="Working - Special Holiday on RD",C22="Working - Rest Day",C22="Leave")),BP21,0)</f>
        <v>0</v>
      </c>
      <c r="CM21" s="93" t="n">
        <f aca="false">IF(AND(C21="Special Holiday",OR(C22="Legal Holiday",C22="Working - Legal Holiday on RD",C22="Working - Special Holiday on RD",C22="Normal",C22="Rest Day",C22="Legal Holiday on RD",C22="Special Holiday on RD",C22="Working - Rest Day",C22="Leave")),BP21,0)</f>
        <v>0</v>
      </c>
      <c r="CN21" s="93" t="n">
        <f aca="false">IF(AND(C21="Working - Legal Holiday on RD",OR(C22="Legal Holiday",C22="Special Holiday",C22="Working - Special Holiday on RD",C22="Normal",C22="Rest Day",C22="Special Holiday on RD",C22="Working - Rest Day",C22="Leave")),BP21,0)</f>
        <v>0</v>
      </c>
      <c r="CO21" s="93" t="n">
        <f aca="false">IF(AND(C21="Working - Special Holiday on RD",OR(C22="Legal Holiday",C22="Special Holiday",C22="Working - Legal Holiday on RD",C22="Normal",C22="Rest Day",C22="Leave",C22="Legal Holiday on RD")),BP21,0)</f>
        <v>0</v>
      </c>
      <c r="CP21" s="93" t="n">
        <f aca="false">IF(OR(C20="Special Holiday",C20="Working - Legal Holiday on RD",C20="Working - Special Holiday on RD",C20="Legal Holiday"),BP20,0)</f>
        <v>0</v>
      </c>
      <c r="CQ21" s="93" t="n">
        <f aca="false">IF(AND(C21="Working - Rest Day",OR(C20="Special Holiday",C20="Working - Legal Holiday on RD",C20="Working - Special Holiday on RD",C20="Normal",C20="Legal Holiday")),BP20,0)</f>
        <v>0</v>
      </c>
      <c r="CR21" s="93" t="n">
        <f aca="false">IF(AND(OR(C21="Legal Holiday",C21="Legal Holiday on a Rest Day"),OR(C20="Special Holiday",C20="Working - Legal Holiday on RD",C20="Working - Special Holiday on RD",C20="Normal")),BP20,0)</f>
        <v>0</v>
      </c>
      <c r="CS21" s="93" t="n">
        <f aca="false">IF(AND(OR(C21="Special Holiday",C21="Special Holiday on RD"),OR(C20="Legal Holiday",C20="Working - Legal Holiday on RD",C20="Working - Special Holiday on RD",C20="Normal")),BP20,0)</f>
        <v>0</v>
      </c>
      <c r="CT21" s="93" t="n">
        <f aca="false">IF(AND(C21="Working - Legal Holiday on a RD",OR(C20="Legal Holiday",C20="Special Holiday",C20="Working - Special Holiday on RD",C20="Normal")),BP20,0)</f>
        <v>0</v>
      </c>
      <c r="CU21" s="93" t="n">
        <f aca="false">IF(AND(C21="Working - Special Holiday on RD",OR(C20="Legal Holiday",C20="Special Holiday",C20="Working - Legal Holiday on RD",C20="Normal")),BP20,0)</f>
        <v>0</v>
      </c>
      <c r="CV21" s="93" t="n">
        <f aca="false">IF(OR(C22="Special Holiday",C22="Working - Legal Holiday on RD",C22="Working - Special Holiday on RD",C22="Legal Holiday",C22="Legal Holiday on RD",C22="Special Holiday on RD",),BQ21,0)</f>
        <v>0</v>
      </c>
      <c r="CW21" s="93" t="n">
        <f aca="false">IF(AND(C21="Working - Rest Day",OR(C22="Special Holiday",C22="Working - Legal Holiday on RD",C22="Working - Special Holiday on RD",C22="Legal Holiday",C22="Legal Holiday on RD",C22="Special Holiday on RD",C22="Leave")),BQ21,0)</f>
        <v>0</v>
      </c>
      <c r="CX21" s="93" t="n">
        <f aca="false">IF(AND(C21="Legal Holiday",OR(C22="Special Holiday",C22="Legal Holiday on RD",C22="Special Holiday on RD",C22="Normal",C22="Rest Day",C22="Working - Legal Holiday on RD",C22="Working - Special Holiday on RD",C22="Working - Rest Day",C22="Leave")),BQ21,0)</f>
        <v>0</v>
      </c>
      <c r="CY21" s="93" t="n">
        <f aca="false">IF(AND(C21="Special Holiday",OR(C22="Legal Holiday",C22="Working - Legal Holiday on RD",C22="Working - Special Holiday on RD",C22="Normal",C22="Rest Day",C22="Legal Holiday on RD",C22="Special Holiday on RD",C22="Working - Rest Day",C22="Leave")),BQ21,0)</f>
        <v>0</v>
      </c>
      <c r="CZ21" s="93" t="n">
        <f aca="false">IF(AND(C21="Working - Legal Holiday on RD",OR(C22="Legal Holiday",C22="Special Holiday",C22="Working - Special Holiday on RD",C22="Normal",C22="Rest Day",C22="Special Holiday on RD",C22="Working - Rest Day",C22="Leave")),BQ21,0)</f>
        <v>0</v>
      </c>
      <c r="DA21" s="93" t="n">
        <f aca="false">IF(AND(C21="Working - Special Holiday on RD",OR(C22="Legal Holiday",C22="Special Holiday",C22="Working - Legal Holiday on RD",C22="Normal",C22="Rest Day",C22="Leave",C22="Legal Holiday on RD")),BQ21,0)</f>
        <v>0</v>
      </c>
      <c r="DB21" s="93" t="n">
        <f aca="false">IF(OR(C20="Special Holiday",C20="Working - Legal Holiday on RD",C20="Working - Special Holiday on RD",C20="Legal Holiday"),BQ20,0)</f>
        <v>0</v>
      </c>
      <c r="DC21" s="93" t="n">
        <f aca="false">IF(AND(C21="Working - Rest Day",OR(C20="Special Holiday",C20="Working - Legal Holiday on RD",C20="Working - Special Holiday on RD",C20="Normal",C20="Legal Holiday")),BQ20,0)</f>
        <v>0</v>
      </c>
      <c r="DD21" s="93" t="n">
        <f aca="false">IF(AND(OR(C21="Legal Holiday",C21="Legal Holiday on a Rest Day"),OR(C20="Special Holiday",C20="Working - Legal Holiday on RD",C20="Working - Special Holiday on RD",C20="Normal")),BQ20,0)</f>
        <v>0</v>
      </c>
      <c r="DE21" s="93" t="n">
        <f aca="false">IF(AND(OR(C21="Special Holiday",C21="Special Holiday on RD"),OR(C20="Legal Holiday",C20="Working - Legal Holiday on RD",C20="Working - Special Holiday on RD",C20="Normal")),BQ20,0)</f>
        <v>0</v>
      </c>
      <c r="DF21" s="93" t="n">
        <f aca="false">IF(AND(C21="Working - Legal Holiday on a RD",OR(C20="Legal Holiday",C20="Special Holiday",C20="Working - Special Holiday on RD",C20="Normal")),BQ20,0)</f>
        <v>0</v>
      </c>
      <c r="DG21" s="93" t="n">
        <f aca="false">IF(AND(C21="Working - Special Holiday on RD",OR(C20="Legal Holiday",C20="Special Holiday",C20="Working - Legal Holiday on RD",C20="Normal")),BQ20,0)</f>
        <v>0</v>
      </c>
      <c r="DH21" s="93" t="n">
        <f aca="false">IF(OR(C22="Special Holiday",C22="Working - Legal Holiday on RD",C22="Working - Special Holiday on RD",C22="Legal Holiday",C22="Legal Holiday on RD",C22="Special Holiday on RD",),BO21,0)</f>
        <v>0</v>
      </c>
      <c r="DI21" s="93" t="n">
        <f aca="false">IF(AND(C21="Working - Rest Day",OR(C22="Special Holiday",C22="Working - Legal Holiday on RD",C22="Working - Special Holiday on RD",C22="Legal Holiday",C22="Legal Holiday on RD",C22="Special Holiday on RD",C22="Leave")),BO21,0)</f>
        <v>0</v>
      </c>
      <c r="DJ21" s="93" t="n">
        <f aca="false">IF(AND(C21="Legal Holiday",OR(C22="Special Holiday",C22="Legal Holiday on RD",C22="Special Holiday on RD",C22="Normal",C22="Rest Day",C22="Working - Legal Holiday on RD",C22="Working - Special Holiday on RD",C22="Working - Rest Day",C22="Leave")),BO21,0)</f>
        <v>0</v>
      </c>
      <c r="DK21" s="93" t="n">
        <f aca="false">IF(AND(C21="Special Holiday",OR(C22="Legal Holiday",C22="Working - Legal Holiday on RD",C22="Working - Special Holiday on RD",C22="Normal",C22="Rest Day",C22="Legal Holiday on RD",C22="Special Holiday on RD",C22="Working - Rest Day",C22="Leave")),BO21,0)</f>
        <v>0</v>
      </c>
      <c r="DL21" s="93" t="n">
        <f aca="false">IF(AND(C21="Working - Legal Holiday on RD",OR(C22="Legal Holiday",C22="Special Holiday",C22="Working - Special Holiday on RD",C22="Normal",C22="Rest Day",C22="Special Holiday on RD",C22="Working - Rest Day",C22="Leave")),BO21,0)</f>
        <v>0</v>
      </c>
      <c r="DM21" s="93" t="n">
        <f aca="false">IF(AND(C21="Working - Special Holiday on RD",OR(C22="Legal Holiday",C22="Special Holiday",C22="Working - Legal Holiday on RD",C22="Normal",C22="Rest Day",C22="Leave",C22="Legal Holiday on RD")),BO21,0)</f>
        <v>0</v>
      </c>
      <c r="DN21" s="93" t="n">
        <f aca="false">IF(OR(C20="Special Holiday",C20="Working - Legal Holiday on RD",C20="Working - Special Holiday on RD",C20="Legal Holiday"),BO20,0)</f>
        <v>0</v>
      </c>
      <c r="DO21" s="93" t="n">
        <f aca="false">IF(AND(C21="Working - Rest Day",OR(C20="Special Holiday",C20="Working - Legal Holiday on RD",C20="Working - Special Holiday on RD",C20="Normal",C20="Legal Holiday")),BO20,0)</f>
        <v>0</v>
      </c>
      <c r="DP21" s="93" t="n">
        <f aca="false">IF(AND(OR(C21="Legal Holiday",C21="Legal Holiday on a Rest Day"),OR(C20="Special Holiday",C20="Working - Legal Holiday on RD",C20="Working - Special Holiday on RD",C20="Normal")),BO20,0)</f>
        <v>0</v>
      </c>
      <c r="DQ21" s="93" t="n">
        <f aca="false">IF(AND(OR(C21="Special Holiday",C21="Special Holiday on RD"),OR(C20="Legal Holiday",C20="Working - Legal Holiday on RD",C20="Working - Special Holiday on RD",C20="Normal")),BO20,0)</f>
        <v>0</v>
      </c>
      <c r="DR21" s="93" t="n">
        <f aca="false">IF(AND(C21="Working - Legal Holiday on a RD",OR(C20="Legal Holiday",C20="Special Holiday",C20="Working - Special Holiday on RD",C20="Normal")),BO20,0)</f>
        <v>0</v>
      </c>
      <c r="DS21" s="93" t="n">
        <f aca="false">IF(AND(C21="Working - Special Holiday on RD",OR(C20="Legal Holiday",C20="Special Holiday",C20="Working - Legal Holiday on RD",C20="Normal")),BO20,0)</f>
        <v>0</v>
      </c>
    </row>
    <row r="22" s="6" customFormat="true" ht="14.25" hidden="false" customHeight="true" outlineLevel="0" collapsed="false">
      <c r="A22" s="79" t="n">
        <v>46197</v>
      </c>
      <c r="B22" s="80" t="str">
        <f aca="false">TEXT(WEEKDAY(A22),"ddd")</f>
        <v>Wed</v>
      </c>
      <c r="C22" s="81" t="s">
        <v>4</v>
      </c>
      <c r="D22" s="82" t="n">
        <v>0.354166666666667</v>
      </c>
      <c r="E22" s="79" t="n">
        <v>46197</v>
      </c>
      <c r="F22" s="82" t="n">
        <v>0.8125</v>
      </c>
      <c r="G22" s="82" t="n">
        <v>0.354166666666667</v>
      </c>
      <c r="H22" s="82" t="n">
        <v>0.8125</v>
      </c>
      <c r="I22" s="83" t="n">
        <f aca="false">IFERROR(IF(N22="Strict",IF(C22="Normal",IFERROR(IF((HOUR(IF(AQ22&lt;=AR22,BB22-AR22,BB22-AQ22))+MINUTE(IF(AQ22&lt;=AR22,BB22-AR22,BB22-AQ22))/60)&gt;=6,HOUR(IF(AQ22&lt;=AR22,BB22-AR22,BB22-AQ22))+MINUTE(IF(AQ22&lt;=AR22,BB22-AR22,BB22-AQ22))/60-1,HOUR(IF(AQ22&lt;=AR22,BB22-AR22,BB22-AQ22))+MINUTE(IF(AQ22&lt;=AR22,BB22-AR22,BB22-AQ22))/60),0),0),IF(N22="Flexi",IF(C22="Normal",IF((HOUR(BB22-AR22)+MINUTE(BB22-AR22)/60)&gt;=6,(HOUR(BB22-AR22)+MINUTE(BB22-AR22)/60)-1,(HOUR(BB22-AR22)+MINUTE(BB22-AR22)/60)),0),0)),0)</f>
        <v>0</v>
      </c>
      <c r="J22" s="82"/>
      <c r="K22" s="79"/>
      <c r="L22" s="84"/>
      <c r="M22" s="79"/>
      <c r="N22" s="79" t="s">
        <v>2</v>
      </c>
      <c r="O22" s="85"/>
      <c r="P22" s="79"/>
      <c r="Q22" s="86" t="s">
        <v>110</v>
      </c>
      <c r="R22" s="87" t="n">
        <f aca="false">IF(AND(C22="Normal",I22&gt;0),(8-S22),0)-IF(AND(C22="Normal",OR(C23="Special Holiday",C23="Working - Legal Holiday on RD",C23="Working - Special Holiday on RD",C23="Legal Holiday",C23="Legal Holiday on RD",C23="Special Holiday on RD")),BN22,0)+IF(AND(OR(C22="Normal",C22="Leave",C22="Rest Day"),OR(C21="Special Holiday",C21="Working - Legal Holiday on RD",C21="Working - Special Holiday on RD",C21="Legal Holiday")),BN21,0)</f>
        <v>0</v>
      </c>
      <c r="S22" s="87" t="n">
        <f aca="false">IF(C22="Normal",IF(P22="Remain Lates",(IFERROR(IF(N22="Strict",IF(C22="Normal",IF(AQ22&lt;=AR22,HOUR(AR22-AQ22)+(MINUTE(AR22-AQ22)/60),0)+IF(BB22&lt;=BC22,HOUR(BC22-BB22)+(MINUTE(BC22-BB22)/60),0),0),IF(I22=0,0,(8-I22))),0)-(O22/60)),IF((O22/60)&gt;=IFERROR(IF(N22="Strict",IF(C22="Normal",IF(AQ22&lt;=AR22,HOUR(AR22-AQ22)+(MINUTE(AR22-AQ22)/60),0)+IF(BB22&lt;=BC22,HOUR(BC22-BB22)+(MINUTE(BC22-BB22)/60),0),0),IF(I22=0,0,(8-I22))),0),0,IFERROR(IF(N22="Strict",IF(C22="Normal",IF(AQ22&lt;=AR22,HOUR(AR22-AQ22)+(MINUTE(AR22-AQ22)/60),0)+IF(BB22&lt;=BC22,HOUR(BC22-BB22)+(MINUTE(BC22-BB22)/60),0),0),IF(I22=0,0,(8-I22))),0))),0)</f>
        <v>0</v>
      </c>
      <c r="T22" s="88" t="n">
        <f aca="false">IF(AND(C22="Working - Rest Day",BW22&gt;0),(8-IF(BV22&gt;6,BV22-1,BV22)),0)-IF(AND(C22="Working - Rest Day",OR(C23="Special Holiday",C23="Working - Legal Holiday on RD",C23="Working - Special Holiday on RD",C23="Legal Holiday",C23="Legal Holiday on RD",C23="Special Holiday on RD")),BN22,0)+IF(AND(C22="Working - Rest Day",OR(C21="Special Holiday",C21="Working - Legal Holiday on RD",C21="Working - Special Holiday on RD",C21="Legal Holiday")),BN21,0)</f>
        <v>0</v>
      </c>
      <c r="U22" s="88" t="n">
        <f aca="false">IF(AND(C22="Legal Holiday",BW22&gt;0),(8-IF(BV22&gt;6,BV22-1,BV22)),0)-IF(AND(C22="Legal Holiday",OR(C23="Special Holiday",C23="Legal Holiday on RD",C23="Special Holiday on RD",C23="Normal",C23="Rest Day",C23="Working - Legal Holiday on RD",C23="Working - Special Holiday on RD",C23="Working - Rest Day",C23="Leave")),BN22,0)+IF(AND(OR(C22="Legal Holiday",C22="Legal Holiday on RD"),OR(C21="Special Holiday",C21="Working - Legal Holiday on RD",C21="Working - Special Holiday on RD",C21="Normal",C21="Working - Rest Day")),BN21,0)</f>
        <v>0</v>
      </c>
      <c r="V22" s="88" t="n">
        <f aca="false">IF(AND(C22="Special Holiday",BW22&gt;0),(8-IF(BV22&gt;6,BV22-1,BV22)),0)-IF(AND(C22="Special Holiday",OR(C23="Legal Holiday",C23="Working - Legal Holiday on RD",C23="Working - Special Holiday on RD",C23="Normal",C23="Rest Day",C23="Legal Holiday on RD",C23="Special Holiday on RD",C23="Working - Rest Day",C23="Leave")),BN22,0)+IF(AND(OR(C22="Special Holiday",C22="Special Holiday on RD"),OR(C21="Legal Holiday",C21="Working - Legal Holiday on RD",C21="Working - Special Holiday on RD",C21="Working - Rest Day",C21="Normal")),BN21,0)</f>
        <v>0</v>
      </c>
      <c r="W22" s="88" t="n">
        <f aca="false">IF(AND(C22="Working - Legal Holiday on RD",BW22&gt;0),(8-IF(BV22&gt;6,BV22-1,BV22)),0)-IF(AND(C22="Working - Legal Holiday on RD",OR(C23="Legal Holiday",C23="Special Holiday",C23="Working - Special Holiday on RD",C23="Normal",C23="Rest Day",C23="Special Holiday on RD",C23="Working - Rest Day",C23="Leave")),BN22,0)+IF(AND(C22="Working - Legal Holiday on RD",OR(C21="Legal Holiday",C21="Special Holiday",C21="Working - Special Holiday on RD",C21="Working - Rest Day",C21="Normal")),BN21,0)</f>
        <v>0</v>
      </c>
      <c r="X22" s="88" t="n">
        <f aca="false">IF(AND(C22="Working - Special Holiday on RD",BW22&gt;0),(8-IF(BV22&gt;6,BV22-1,BV22)),0)-IF(AND(C22="Working - Special Holiday on RD",OR(C23="Legal Holiday",C23="Special Holiday",C23="Working - Legal Holiday on RD",C23="Normal",C23="Rest Day",C23="Leave",C23="Working - Rest Day",C23="Legal Holiday on RD")),BN22,0)+IF(AND(C22="Working - Special Holiday on RD",OR(C21="Legal Holiday",C21="Special Holiday",C21="Working - Legal Holiday on RD",C21="Normal",C21="Working - Rest Day")),BN21,0)</f>
        <v>0</v>
      </c>
      <c r="Y22" s="88" t="n">
        <f aca="false">IFERROR(IF(C22="Normal",HOUR(AY22-AV22)+MINUTE(AY22-AV22)/60,0),0)-IFERROR(IF(C22="Normal",HOUR(BA22-AX22)+MINUTE(BA22-AX22)/60,0),0)-IF(AND(C22="Normal",OR(C23="Special Holiday",C23="Working - Legal Holiday on RD",C23="Working - Special Holiday on RD",C23="Legal Holiday",C23="Legal Holiday on RD",C23="Special Holiday on RD")),BP22,0)+IF(AND(OR(C22="Normal",C22="Rest Day",C22="Leave"),OR(C21="Special Holiday",C21="Working - Legal Holiday on RD",C21="Working - Special Holiday on RD",C21="Legal Holiday")),BP21,0)</f>
        <v>0</v>
      </c>
      <c r="Z22" s="88" t="n">
        <f aca="false">IFERROR(IF(C22="Working - Rest Day",HOUR(AY22-AV22)+MINUTE(AY22-AV22)/60,0),0)-IFERROR(IF(C22="Working - Rest Day",HOUR(BA22-AX22)+MINUTE(BA22-AX22)/60,0),0)-IF(AND(C22="Working - Rest Day",OR(C23="Special Holiday",C23="Working - Legal Holiday on RD",C23="Working - Special Holiday on RD",C23="Legal Holiday",C23="Legal Holiday on RD",C23="Special Holiday on RD")),BP22,0)+IF(AND(C22="Working - Rest Day",OR(C21="Special Holiday",C21="Working - Legal Holiday on RD",C21="Working - Special Holiday on RD",C21="Legal Holiday")),BP21,0)</f>
        <v>0</v>
      </c>
      <c r="AA22" s="88" t="n">
        <f aca="false">IFERROR(IF(C22="Legal Holiday",HOUR(AY22-AV22)+MINUTE(AY22-AV22)/60,0),0)-IFERROR(IF(C22="Legal Holiday",HOUR(BA22-AX22)+MINUTE(BA22-AX22)/60,0),0)-IF(AND(C22="Legal Holiday",OR(C23="Special Holiday",C23="Legal Holiday on RD",C23="Special Holiday on RD",C23="Normal",C23="Rest Day",C23="Working - Legal Holiday on RD",C23="Working - Special Holiday on RD",C23="Working - Rest Day",C23="Leave")),BP22,0)+IF(AND(OR(C22="Legal Holiday",C22="Legal Holiday on RD"),OR(C21="Special Holiday",C21="Working - Legal Holiday on RD",C21="Working - Special Holiday on RD",C21="Normal",C21="Working - Rest Day")),BP21,0)</f>
        <v>0</v>
      </c>
      <c r="AB22" s="88" t="n">
        <f aca="false">IFERROR(IF(C22="Special Holiday",HOUR(AY22-AV22)+MINUTE(AY22-AV22)/60,0),0)-IFERROR(IF(C22="Special Holiday",HOUR(BA22-AX22)+MINUTE(BA22-AX22)/60,0),0)-IF(AND(C22="Special Holiday",OR(C23="Legal Holiday",C23="Working - Legal Holiday on RD",C23="Working - Special Holiday on RD",C23="Normal",C23="Rest Day",C23="Legal Holiday on RD",C23="Special Holiday on RD",C23="Working - Rest Day",C23="Leave")),BP22,0)+IF(AND(OR(C22="Special Holiday",C22="Special Holiday on RD"),OR(C21="Legal Holiday",C21="Working - Legal Holiday on RD",C21="Working - Special Holiday on RD",C21="Normal",C21="Working - Rest Day")),BP21,0)</f>
        <v>0</v>
      </c>
      <c r="AC22" s="88" t="n">
        <f aca="false">IFERROR(IF(C22="Working - Legal Holiday on RD",HOUR(AY22-AV22)+MINUTE(AY22-AV22)/60,0),0)-IFERROR(IF(C22="Working - Legal Holiday on RD",HOUR(BA22-AX22)+MINUTE(BA22-AX22)/60,0),0)-IF(AND(C22="Working - Legal Holiday on RD",OR(C23="Legal Holiday",C23="Special Holiday",C23="Working - Special Holiday on RD",C23="Normal",C23="Rest Day",C23="Special Holiday on RD",C23="Working - Rest Day",C23="Leave")),BP22,0)+IF(AND(C22="Working - Legal Holiday on RD",OR(C21="Legal Holiday",C21="Special Holiday",C21="Working - Special Holiday on RD",C21="Normal",C21="Working - Rest Day")),BP21,0)</f>
        <v>0</v>
      </c>
      <c r="AD22" s="88" t="n">
        <f aca="false">IFERROR(IF(C22="Working - Special Holiday on RD",HOUR(AY22-AV22)+MINUTE(AY22-AV22)/60,0),0)-IFERROR(IF(C22="Working - Special Holiday on RD",HOUR(BA22-AX22)+MINUTE(BA22-AX22)/60,0),0)-IF(AND(C22="Working - Special Holiday on RD",OR(C23="Legal Holiday",C23="Special Holiday",C23="Working - Legal Holiday on RD",C23="Normal",C23="Rest Day",C23="Working - Rest Day",C23="Leave",C23="Legal Holiday on RD")),BP22,0)+IF(AND(C22="Working - Special Holiday on RD",OR(C21="Legal Holiday",C21="Special Holiday",C21="Working - Legal Holiday on RD",C21="Normal",C21="Working - Rest Day")),BP21,0)</f>
        <v>0</v>
      </c>
      <c r="AE22" s="88" t="n">
        <f aca="false">IFERROR(IF(C22="Normal",HOUR(BA22-AX22)+MINUTE(BA22-AX22)/60,0),0)-IF(AND(C22="Normal",OR(C23="Special Holiday",C23="Working - Legal Holiday on RD",C23="Working - Special Holiday on RD",C23="Legal Holiday",C23="Legal Holiday on RD",C23="Special Holiday on RD")),BQ22,0)+IF(AND(OR(C22="Normal",C22="Rest Day",C22="Leave"),OR(C21="Special Holiday",C21="Working - Legal Holiday on RD",C21="Working - Special Holiday on RD",C21="Legal Holiday")),BQ21,0)</f>
        <v>0</v>
      </c>
      <c r="AF22" s="88" t="n">
        <f aca="false">IFERROR(IF(C22="Working - Rest Day",HOUR(BA22-AX22)+MINUTE(BA22-AX22)/60,0),0)-IF(AND(C22="Working - Rest Day",OR(C23="Special Holiday",C23="Working - Legal Holiday on RD",C23="Working - Special Holiday on RD",C23="Legal Holiday",C23="Legal Holiday on RD",C23="Special Holiday on RD")),BQ22,0)+IF(AND(C22="Working - Rest Day",OR(C21="Special Holiday",C21="Working - Legal Holiday on RD",C21="Working - Special Holiday on RD",C21="Legal Holiday")),BQ21,0)</f>
        <v>0</v>
      </c>
      <c r="AG22" s="88" t="n">
        <f aca="false">IFERROR(IF(C22="Legal Holiday",HOUR(BA22-AX22)+MINUTE(BA22-AX22)/60,0),0)-IF(AND(C22="Legal Holiday",OR(C23="Special Holiday",C23="Legal Holiday on RD",C23="Special Holiday on RD",C23="Normal",C23="Rest Day",C23="Working - Legal Holiday on RD",C23="Working - Special Holiday on RD",C23="Working - Rest Day",C23="Leave")),BQ22,0)+IF(AND(OR(C22="Legal Holiday",C22="Legal Holiday on RD"),OR(C21="Special Holiday",C21="Working - Legal Holiday on RD",C21="Working - Special Holiday on RD",C21="Normal",C21="Working - Rest Day")),BQ21,0)</f>
        <v>0</v>
      </c>
      <c r="AH22" s="88" t="n">
        <f aca="false">IFERROR(IF(C22="Special Holiday",HOUR(BA22-AX22)+MINUTE(BA22-AX22)/60,0),0)-IF(AND(C22="Special Holiday",OR(C23="Legal Holiday",C23="Working - Legal Holiday on RD",C23="Working - Special Holiday on RD",C23="Normal",C23="Rest Day",C23="Legal Holiday on RD",C23="Special Holiday on RD",C23="Working - Rest Day",C23="Leave")),BQ22,0)+IF(AND(OR(C22="Special Holiday",C22="Special Holiday on RD"),OR(C21="Legal Holiday",C21="Working - Legal Holiday on RD",C21="Working - Special Holiday on RD",C21="Normal",C21="Working - Rest Day")),BQ21,0)</f>
        <v>0</v>
      </c>
      <c r="AI22" s="88" t="n">
        <f aca="false">IFERROR(IF(C22="Working - Legal Holiday on RD",HOUR(BA22-AX22)+MINUTE(BA22-AX22)/60,0),0)-IF(AND(C22="Working - Legal Holiday on RD",OR(C23="Legal Holiday",C23="Special Holiday",C23="Working - Special Holiday on RD",C23="Normal",C23="Rest Day",C23="Special Holiday on RD",C23="Working - Rest Day",C23="Leave")),BQ22,0)+IF(AND(C22="Working - Legal Holiday on RD",OR(C21="Legal Holiday",C21="Special Holiday",C21="Working - Special Holiday on RD",C21="Normal",C21="Working - Rest Day")),BQ21,0)</f>
        <v>0</v>
      </c>
      <c r="AJ22" s="88" t="n">
        <f aca="false">IFERROR(IF(C22="Working - Special Holiday on RD",HOUR(BA22-AX22)+MINUTE(BA22-AX22)/60,0),0)-IF(AND(C22="Working - Special Holiday on RD",OR(C23="Legal Holiday",C23="Special Holiday",C23="Working - Legal Holiday on RD",C23="Normal",C23="Rest Day",C23="Working - Rest Day",C23="Leave",C23="Legal Holiday on RD")),BQ22,0)+IF(AND(C22="Working - Special Holiday on RD",OR(C21="Legal Holiday",C21="Special Holiday",C21="Working - Legal Holiday on RD",C21="Normal",C21="Working - Rest Day")),BQ21,0)</f>
        <v>0</v>
      </c>
      <c r="AK22" s="88" t="n">
        <f aca="false">IFERROR(IF(C22="Normal",HOUR(BF22-AU22)+(MINUTE(BF22-AU22)/60),0),0)-IF(AND(C22="Normal",OR(C23="Special Holiday",C23="Working - Legal Holiday on RD",C23="Working - Special Holiday on RD",C23="Legal Holiday",C23="Legal Holiday on RD",C23="Special Holiday on RD")),BO22,0)+IF(AND(OR(C22="Normal",C22="Rest Day",C22="Leave"),OR(C21="Special Holiday",C21="Working - Legal Holiday on RD",C21="Working - Special Holiday on RD",C21="Legal Holiday")),BO21,0)</f>
        <v>0</v>
      </c>
      <c r="AL22" s="88" t="n">
        <f aca="false">IFERROR(IF(C22="Working - Rest Day",HOUR(BF22-AU22)+(MINUTE(BF22-AU22)/60),0),0)-IF(AND(C22="Working - Rest Day",OR(C23="Special Holiday",C23="Working - Legal Holiday on RD",C23="Working - Special Holiday on RD",C23="Legal Holiday",C23="Legal Holiday on RD",C23="Special Holiday on RD")),BO22,0)+IF(AND(C22="Working - Rest Day",OR(C21="Special Holiday",C21="Working - Legal Holiday on RD",C21="Working - Special Holiday on RD",C21="Legal Holiday")),BO21,0)</f>
        <v>0</v>
      </c>
      <c r="AM22" s="88" t="n">
        <f aca="false">IFERROR(IF(C22="Legal Holiday",HOUR(BF22-AU22)+(MINUTE(BF22-AU22)/60),0),0)-IF(AND(C22="Legal Holiday",OR(C23="Special Holiday",C23="Legal Holiday on RD",C23="Special Holiday on RD",C23="Normal",C23="Rest Day",C23="Working - Legal Holiday on RD",C23="Working - Special Holiday on RD",C23="Working - Rest Day",C23="Leave")),BO22,0)+IF(AND(OR(C22="Legal Holiday",C22="Legal Holiday on RD"),OR(C21="Special Holiday",C21="Working - Legal Holiday on RD",C21="Working - Special Holiday on RD",C21="Normal",C21="Working - Rest Day")),BO21,0)</f>
        <v>0</v>
      </c>
      <c r="AN22" s="88" t="n">
        <f aca="false">IFERROR(IF(C22="Special Holiday",HOUR(BF22-AU22)+(MINUTE(BF22-AU22)/60),0),0)-IF(AND(C22="Special Holiday",OR(C23="Legal Holiday",C23="Working - Legal Holiday on RD",C23="Working - Special Holiday on RD",C23="Normal",C23="Rest Day",C23="Legal Holiday on RD",C23="Special Holiday on RD",C23="Working - Rest Day",C23="Leave")),BO22,0)+IF(AND(OR(C22="Special Holiday",C22="Special Holiday on RD"),OR(C21="Legal Holiday",C21="Working - Legal Holiday on RD",C21="Working - Special Holiday on RD",C21="Normal",C21="Working - Rest Day")),BO21,0)</f>
        <v>0</v>
      </c>
      <c r="AO22" s="88" t="n">
        <f aca="false">IFERROR(IF(C22="Working - Legal Holiday on RD",HOUR(BF22-AU22)+(MINUTE(BF22-AU22)/60),0),0)-IF(AND(C22="Working - Legal Holiday on RD",OR(C23="Legal Holiday",C23="Special Holiday",C23="Working - Special Holiday on RD",C23="Normal",C23="Rest Day",C23="Special Holiday on RD",C23="Working - Rest Day",C23="Leave")),BO22,0)+IF(AND(C22="Working - Legal Holiday on RD",OR(C21="Legal Holiday",C21="Special Holiday",C21="Working - Special Holiday on RD",C21="Normal",C21="Working - Rest Day")),BO21,0)</f>
        <v>0</v>
      </c>
      <c r="AP22" s="88" t="n">
        <f aca="false">IFERROR(IF(C22="Working - Special Holiday on RD",HOUR(BF22-AU22)+(MINUTE(BF22-AU22)/60),0),0)-IF(AND(C22="Working - Special Holiday on RD",OR(C23="Legal Holiday",C23="Special Holiday",C23="Working - Legal Holiday on RD",C23="Normal",C23="Rest Day",C23="Working - Rest Day",C23="Leave",C23="Legal Holiday on RD")),BO22,0)+IF(AND(C22="Working - Special Holiday on RD",OR(C21="Legal Holiday",C21="Special Holiday",C21="Working - Legal Holiday on RD",C21="Normal",C21="Working - Rest Day")),BO21,0)</f>
        <v>0</v>
      </c>
      <c r="AQ22" s="89" t="str">
        <f aca="false">TEXT(D22,"HH:MM")&amp;" "&amp;TEXT(A22,"DD-mmm-YY")</f>
        <v>08:30 24-Jun-26</v>
      </c>
      <c r="AR22" s="89" t="str">
        <f aca="false">TEXT(G22,"HH:MM")&amp;" "&amp;TEXT(A22,"DD-mmm-YY")</f>
        <v>08:30 24-Jun-26</v>
      </c>
      <c r="AS22" s="60" t="str">
        <f aca="false">IF($AR$1&lt;D22,AR22,IF(AT22&lt;=AR22,AR22,AT22))</f>
        <v>22:00 24-Jun-26</v>
      </c>
      <c r="AT22" s="60" t="str">
        <f aca="false">IF(AND(D22&gt;=0,D22&lt;0.25),TEXT($AR$1,"HH:MM")&amp;" "&amp;TEXT((A22-1),"dd-mmm-yy"),TEXT($AR$1,"HH:MM")&amp;" "&amp;TEXT(A22,"dd-mmm-yy"))</f>
        <v>22:00 24-Jun-26</v>
      </c>
      <c r="AU22" s="40" t="e">
        <f aca="false" t="array" ref="AU22:AU22">MAX(AQ22:AS22+0)</f>
        <v>#VALUE!</v>
      </c>
      <c r="AV22" s="60" t="str">
        <f aca="false">TEXT(J22,"HH:MM")&amp;" "&amp;TEXT(K22,"DD-mmm-YY")</f>
        <v>00:00 00-Jan-00</v>
      </c>
      <c r="AW22" s="60" t="str">
        <f aca="false">IF(K22&lt;A22,TEXT($AR$1,"HH:MM")&amp;" "&amp;TEXT((A22-1),"dd-mmm-yy"),IF(AND(D22&gt;0,D22&lt;0.25,L22&lt;0.916666666666667,A22&lt;M22),TEXT($AR$1,"HH:MM")&amp;" "&amp;TEXT((A22-1),"dd-mmm-yy"),TEXT($AR$1,"HH:MM")&amp;" "&amp;TEXT(A22,"dd-mmm-yy")))</f>
        <v>22:00 23-Jun-26</v>
      </c>
      <c r="AX22" s="40" t="e">
        <f aca="false" t="array" ref="AX22:AX22">MAX(AV22:AW22+0)</f>
        <v>#VALUE!</v>
      </c>
      <c r="AY22" s="60" t="str">
        <f aca="false">TEXT(L22,"HH:MM")&amp;" "&amp;TEXT(M22,"DD-mmm-YY")</f>
        <v>00:00 00-Jan-00</v>
      </c>
      <c r="AZ22" s="60" t="str">
        <f aca="false">IF(AND(D22&gt;=0,D22&lt;0.25,L22&lt;0.916666666666667,A22&gt;M22),TEXT($AR$2,"HH:MM")&amp;" "&amp;TEXT(A22,"DD-mmm-YY"),TEXT($AR$2,"HH:MM")&amp;" "&amp;TEXT((A22+1),"DD-mmm-YY"))</f>
        <v>06:00 25-Jun-26</v>
      </c>
      <c r="BA22" s="40" t="e">
        <f aca="false" t="array" ref="BA22:BA22">MIN(AY22:AZ22+0)</f>
        <v>#VALUE!</v>
      </c>
      <c r="BB22" s="60" t="str">
        <f aca="false">IF(G22&gt;H22,TEXT(H22,"HH:MM")&amp;" "&amp;TEXT(E22,"DD-mmm-YY"),IF(H22&gt;1,TEXT(H22,"HH:MM")&amp;" "&amp;TEXT(E22,"DD-mmm-YY"),TEXT(H22,"HH:MM")&amp;" "&amp;TEXT(A22,"DD-mmm-YY")))</f>
        <v>19:30 24-Jun-26</v>
      </c>
      <c r="BC22" s="60" t="str">
        <f aca="false">IF(N22="Flexi",TEXT(G22+$BC$1,"HH:MM")&amp;" "&amp;TEXT(E22,"DD-mmm-YY"),TEXT(F22,"HH:MM")&amp;" "&amp;TEXT(E22,"DD-mmm-YY"))</f>
        <v>19:30 24-Jun-26</v>
      </c>
      <c r="BD22" s="90" t="e">
        <f aca="false" t="array" ref="BD22:BD22">MIN(BB22:BC22+0)</f>
        <v>#VALUE!</v>
      </c>
      <c r="BE22" s="60" t="str">
        <f aca="false">IF(D22&gt;0.25,TEXT($AR$2,"HH:MM")&amp;" "&amp;TEXT(IF(BG22&lt;H22,A22+1,E22),"DD-mmm-YY"),IF(D22&gt;=0,TEXT($AR$2,"HH:MM")&amp;" "&amp;TEXT(IF(BG22&lt;H22,A22+1,E22)-1,"DD-mmm-YY"),TEXT($AR$2,"HH:MM")&amp;" "&amp;TEXT(IF(BG22&lt;H22,A22+1,E22),"DD-mmm-YY")))</f>
        <v>06:00 25-Jun-26</v>
      </c>
      <c r="BF22" s="40" t="e">
        <f aca="false" t="array" ref="BF22:BF22">IF(N22="Flexi",IF(AND(BB22&gt;BC22,BB22&lt;BE22),BB22,MIN(BB22:BE22+0)),MIN(BB22:BE22+0))</f>
        <v>#VALUE!</v>
      </c>
      <c r="BG22" s="7" t="n">
        <v>0</v>
      </c>
      <c r="BH22" s="9" t="str">
        <f aca="false">TEXT(BG22,"HH:MM")&amp;" "&amp;TEXT(A22+1,"DD-mmm-YY")</f>
        <v>00:00 25-Jun-26</v>
      </c>
      <c r="BI22" s="9" t="str">
        <f aca="false">AV22</f>
        <v>00:00 00-Jan-00</v>
      </c>
      <c r="BJ22" s="91" t="e">
        <f aca="false" t="array" ref="BJ22:BJ22">MAX(BH22:BI22+0)</f>
        <v>#VALUE!</v>
      </c>
      <c r="BK22" s="9" t="str">
        <f aca="false">TEXT($AR$2,"HH:MM")&amp;" "&amp;TEXT(A22+1,"DD-mmm-YY")</f>
        <v>06:00 25-Jun-26</v>
      </c>
      <c r="BL22" s="9" t="str">
        <f aca="false">AY22</f>
        <v>00:00 00-Jan-00</v>
      </c>
      <c r="BM22" s="91" t="e">
        <f aca="false" t="array" ref="BM22:BM22">MIN(BK22:BL22+0)</f>
        <v>#VALUE!</v>
      </c>
      <c r="BN22" s="13" t="n">
        <f aca="false">IF(IFERROR(IF(E22&gt;A22,IF(BD22&gt;=BD22,HOUR(BD22-BH22)+MINUTE(BD22-BH22)/60,0),0),0)&gt;5,(IFERROR(IF(E22&gt;A22,IF(BD22&gt;=BD22,HOUR(BD22-BH22)+MINUTE(BD22-BH22)/60,0),0),0)-1),IFERROR(IF(E22&gt;A22,IF(BD22&gt;=BD22,HOUR(BD22-BH22)+MINUTE(BD22-BH22)/60,0),0),0))</f>
        <v>0</v>
      </c>
      <c r="BO22" s="13" t="n">
        <f aca="false">IFERROR(IF(E22&gt;A22,HOUR(BF22-BH22)+MINUTE(BF22-BH22)/60,0),0)</f>
        <v>0</v>
      </c>
      <c r="BP22" s="92" t="n">
        <f aca="false">IF(AND(A22&lt;M22,L22&gt;0.25,L22&lt;=0.916666666666667,J22&gt;=0.25),IFERROR(HOUR(AY22-AV22)+MINUTE(AY22-AV22)/60,0),IFERROR(HOUR(AY22-BK22)+MINUTE(AY22-BK22)/60,0))</f>
        <v>0</v>
      </c>
      <c r="BQ22" s="13" t="n">
        <f aca="false">IFERROR(HOUR(BM22-BJ22)+MINUTE(BM22-BJ22)/60,0)</f>
        <v>0</v>
      </c>
      <c r="BR22" s="13" t="n">
        <f aca="false">IF(AND(C22=C22,BW22&gt;0),(8-BV22),0)-BN22</f>
        <v>0</v>
      </c>
      <c r="BS22" s="13" t="n">
        <f aca="false">IFERROR(IF(C22=C22,HOUR(BF22-AU22)+(MINUTE(BF22-AU22)/60),0),0)-BO22</f>
        <v>0</v>
      </c>
      <c r="BT22" s="92" t="n">
        <f aca="false">IFERROR(IF(C22=C22,HOUR(AY22-AV22)+MINUTE(AY22-AV22)/60,0),0)-IFERROR(IF(C22=C22,HOUR(BA22-AX22)+MINUTE(BA22-AX22)/60,0),0)-BP22</f>
        <v>0</v>
      </c>
      <c r="BU22" s="13" t="n">
        <f aca="false">IFERROR(IF(C22=C22,HOUR(BA22-AX22)+MINUTE(BA22-AX22)/60,0),0)-BQ22</f>
        <v>0</v>
      </c>
      <c r="BV22" s="13" t="n">
        <f aca="false">IF(C22=C22,IF(P22="Remain Lates",(IFERROR(IF(N22="Strict",IF(C22=C22,IF(AQ22&lt;=AR22,HOUR(AR22-AQ22)+(MINUTE(AR22-AQ22)/60),0)+IF(BB22&lt;=BC22,HOUR(BC22-BB22)+(MINUTE(BC22-BB22)/60),0),0),IF(BW22=0,0,(8-BW22))),0)-(O22/60)),IF((O22/60)&gt;=IFERROR(IF(N22="Strict",IF(C22=C22,IF(AQ22&lt;=AR22,HOUR(AR22-AQ22)+(MINUTE(AR22-AQ22)/60),0)+IF(BB22&lt;=BC22,HOUR(BC22-BB22)+(MINUTE(BC22-BB22)/60),0),0),IF(BW22=0,0,(8-BW22))),0),0,IFERROR(IF(N22="Strict",IF(C22=C22,IF(AQ22&lt;=AR22,HOUR(AR22-AQ22)+(MINUTE(AR22-AQ22)/60),0)+IF(BB22&lt;=BC22,HOUR(BC22-BB22)+(MINUTE(BC22-BB22)/60),0),0),IF(BW22=0,0,(8-BW22))),0))),0)</f>
        <v>0</v>
      </c>
      <c r="BW22" s="13" t="n">
        <f aca="false">IFERROR(IF(N22="Strict",IF(C22=C22,IFERROR(IF((HOUR(IF(AQ22&lt;=AR22,BB22-AR22,BB22-AQ22))+MINUTE(IF(AQ22&lt;=AR22,BB22-AR22,BB22-AQ22))/60)&gt;=6,HOUR(IF(AQ22&lt;=AR22,BB22-AR22,BB22-AQ22))+MINUTE(IF(AQ22&lt;=AR22,BB22-AR22,BB22-AQ22))/60-1,HOUR(IF(AQ22&lt;=AR22,BB22-AR22,BB22-AQ22))+MINUTE(IF(AQ22&lt;=AR22,BB22-AR22,BB22-AQ22))/60),0),0),IF(N22="Flexi",IF(C22=C22,IF((HOUR(BB22-AR22)+MINUTE(BB22-AR22)/60)&gt;=6,(HOUR(BB22-AR22)+MINUTE(BB22-AR22)/60)-1,(HOUR(BB22-AR22)+MINUTE(BB22-AR22)/60)),0),0)),0)</f>
        <v>0</v>
      </c>
      <c r="BX22" s="93" t="n">
        <f aca="false">IF(OR(C23="Special Holiday",C23="Working - Legal Holiday on RD",C23="Working - Special Holiday on RD",C23="Legal Holiday",C23="Legal Holiday on RD",C23="Special Holiday on RD",),BN22,0)</f>
        <v>0</v>
      </c>
      <c r="BY22" s="93" t="n">
        <f aca="false">IF(AND(C22="Working - Rest Day",OR(C23="Special Holiday",C23="Working - Legal Holiday on RD",C23="Working - Special Holiday on RD",C23="Legal Holiday",C23="Legal Holiday on RD",C23="Special Holiday on RD",C23="Leave")),BN22,0)</f>
        <v>0</v>
      </c>
      <c r="BZ22" s="93" t="n">
        <f aca="false">IF(AND(C22="Legal Holiday",OR(C23="Special Holiday",C23="Legal Holiday on RD",C23="Special Holiday on RD",C23="Normal",C23="Rest Day",C23="Working - Legal Holiday on RD",C23="Working - Special Holiday on RD",C23="Working - Rest Day",C23="Leave")),BN22,0)</f>
        <v>0</v>
      </c>
      <c r="CA22" s="93" t="n">
        <f aca="false">IF(AND(C22="Special Holiday",OR(C23="Legal Holiday",C23="Working - Legal Holiday on RD",C23="Working - Special Holiday on RD",C23="Normal",C23="Rest Day",C23="Legal Holiday on RD",C23="Special Holiday on RD",C23="Working - Rest Day",C23="Leave")),BN22,0)</f>
        <v>0</v>
      </c>
      <c r="CB22" s="93" t="n">
        <f aca="false">IF(AND(C22="Working - Legal Holiday on RD",OR(C23="Legal Holiday",C23="Special Holiday",C23="Working - Special Holiday on RD",C23="Normal",C23="Rest Day",C23="Special Holiday on RD",C23="Working - Rest Day",C23="Leave")),BN22,0)</f>
        <v>0</v>
      </c>
      <c r="CC22" s="93" t="n">
        <f aca="false">IF(AND(C22="Working - Special Holiday on RD",OR(C23="Legal Holiday",C23="Special Holiday",C23="Working - Legal Holiday on RD",C23="Normal",C23="Rest Day",C23="Leave",C23="Legal Holiday on RD")),BN22,0)</f>
        <v>0</v>
      </c>
      <c r="CD22" s="93" t="n">
        <f aca="false">IF(OR(C21="Special Holiday",C21="Working - Legal Holiday on RD",C21="Working - Special Holiday on RD",C21="Legal Holiday"),BN21,0)</f>
        <v>0</v>
      </c>
      <c r="CE22" s="93" t="n">
        <f aca="false">IF(AND(C22="Working - Rest Day",OR(C21="Special Holiday",C21="Working - Legal Holiday on RD",C21="Working - Special Holiday on RD",C21="Normal",C21="Legal Holiday")),BN21,0)</f>
        <v>0</v>
      </c>
      <c r="CF22" s="93" t="n">
        <f aca="false">IF(AND(OR(C22="Legal Holiday",C22="Legal Holiday on a Rest Day"),OR(C21="Special Holiday",C21="Working - Legal Holiday on RD",C21="Working - Special Holiday on RD",C21="Normal")),BN21,0)</f>
        <v>0</v>
      </c>
      <c r="CG22" s="93" t="n">
        <f aca="false">IF(AND(OR(C22="Special Holiday",C22="Special Holiday on RD"),OR(C21="Legal Holiday",C21="Working - Legal Holiday on RD",C21="Working - Special Holiday on RD",C21="Normal")),BN21,0)</f>
        <v>0</v>
      </c>
      <c r="CH22" s="93" t="n">
        <f aca="false">IF(AND(C22="Working - Legal Holiday on a RD",OR(C21="Legal Holiday",C21="Special Holiday",C21="Working - Special Holiday on RD",C21="Normal")),BN21,0)</f>
        <v>0</v>
      </c>
      <c r="CI22" s="93" t="n">
        <f aca="false">IF(AND(C22="Working - Special Holiday on RD",OR(C21="Legal Holiday",C21="Special Holiday",C21="Working - Legal Holiday on RD",C21="Normal")),BN21,0)</f>
        <v>0</v>
      </c>
      <c r="CJ22" s="93" t="n">
        <f aca="false">IF(OR(C23="Special Holiday",C23="Working - Legal Holiday on RD",C23="Working - Special Holiday on RD",C23="Legal Holiday",C23="Legal Holiday on RD",C23="Special Holiday on RD",),BP22,0)</f>
        <v>0</v>
      </c>
      <c r="CK22" s="93" t="n">
        <f aca="false">IF(AND(C22="Working - Rest Day",OR(C23="Special Holiday",C23="Working - Legal Holiday on RD",C23="Working - Special Holiday on RD",C23="Legal Holiday",C23="Legal Holiday on RD",C23="Special Holiday on RD",C23="Leave")),BP22,0)</f>
        <v>0</v>
      </c>
      <c r="CL22" s="93" t="n">
        <f aca="false">IF(AND(C22="Legal Holiday",OR(C23="Special Holiday",C23="Legal Holiday on RD",C23="Special Holiday on RD",C23="Normal",C23="Rest Day",C23="Working - Legal Holiday on RD",C23="Working - Special Holiday on RD",C23="Working - Rest Day",C23="Leave")),BP22,0)</f>
        <v>0</v>
      </c>
      <c r="CM22" s="93" t="n">
        <f aca="false">IF(AND(C22="Special Holiday",OR(C23="Legal Holiday",C23="Working - Legal Holiday on RD",C23="Working - Special Holiday on RD",C23="Normal",C23="Rest Day",C23="Legal Holiday on RD",C23="Special Holiday on RD",C23="Working - Rest Day",C23="Leave")),BP22,0)</f>
        <v>0</v>
      </c>
      <c r="CN22" s="93" t="n">
        <f aca="false">IF(AND(C22="Working - Legal Holiday on RD",OR(C23="Legal Holiday",C23="Special Holiday",C23="Working - Special Holiday on RD",C23="Normal",C23="Rest Day",C23="Special Holiday on RD",C23="Working - Rest Day",C23="Leave")),BP22,0)</f>
        <v>0</v>
      </c>
      <c r="CO22" s="93" t="n">
        <f aca="false">IF(AND(C22="Working - Special Holiday on RD",OR(C23="Legal Holiday",C23="Special Holiday",C23="Working - Legal Holiday on RD",C23="Normal",C23="Rest Day",C23="Leave",C23="Legal Holiday on RD")),BP22,0)</f>
        <v>0</v>
      </c>
      <c r="CP22" s="93" t="n">
        <f aca="false">IF(OR(C21="Special Holiday",C21="Working - Legal Holiday on RD",C21="Working - Special Holiday on RD",C21="Legal Holiday"),BP21,0)</f>
        <v>0</v>
      </c>
      <c r="CQ22" s="93" t="n">
        <f aca="false">IF(AND(C22="Working - Rest Day",OR(C21="Special Holiday",C21="Working - Legal Holiday on RD",C21="Working - Special Holiday on RD",C21="Normal",C21="Legal Holiday")),BP21,0)</f>
        <v>0</v>
      </c>
      <c r="CR22" s="93" t="n">
        <f aca="false">IF(AND(OR(C22="Legal Holiday",C22="Legal Holiday on a Rest Day"),OR(C21="Special Holiday",C21="Working - Legal Holiday on RD",C21="Working - Special Holiday on RD",C21="Normal")),BP21,0)</f>
        <v>0</v>
      </c>
      <c r="CS22" s="93" t="n">
        <f aca="false">IF(AND(OR(C22="Special Holiday",C22="Special Holiday on RD"),OR(C21="Legal Holiday",C21="Working - Legal Holiday on RD",C21="Working - Special Holiday on RD",C21="Normal")),BP21,0)</f>
        <v>0</v>
      </c>
      <c r="CT22" s="93" t="n">
        <f aca="false">IF(AND(C22="Working - Legal Holiday on a RD",OR(C21="Legal Holiday",C21="Special Holiday",C21="Working - Special Holiday on RD",C21="Normal")),BP21,0)</f>
        <v>0</v>
      </c>
      <c r="CU22" s="93" t="n">
        <f aca="false">IF(AND(C22="Working - Special Holiday on RD",OR(C21="Legal Holiday",C21="Special Holiday",C21="Working - Legal Holiday on RD",C21="Normal")),BP21,0)</f>
        <v>0</v>
      </c>
      <c r="CV22" s="93" t="n">
        <f aca="false">IF(OR(C23="Special Holiday",C23="Working - Legal Holiday on RD",C23="Working - Special Holiday on RD",C23="Legal Holiday",C23="Legal Holiday on RD",C23="Special Holiday on RD",),BQ22,0)</f>
        <v>0</v>
      </c>
      <c r="CW22" s="93" t="n">
        <f aca="false">IF(AND(C22="Working - Rest Day",OR(C23="Special Holiday",C23="Working - Legal Holiday on RD",C23="Working - Special Holiday on RD",C23="Legal Holiday",C23="Legal Holiday on RD",C23="Special Holiday on RD",C23="Leave")),BQ22,0)</f>
        <v>0</v>
      </c>
      <c r="CX22" s="93" t="n">
        <f aca="false">IF(AND(C22="Legal Holiday",OR(C23="Special Holiday",C23="Legal Holiday on RD",C23="Special Holiday on RD",C23="Normal",C23="Rest Day",C23="Working - Legal Holiday on RD",C23="Working - Special Holiday on RD",C23="Working - Rest Day",C23="Leave")),BQ22,0)</f>
        <v>0</v>
      </c>
      <c r="CY22" s="93" t="n">
        <f aca="false">IF(AND(C22="Special Holiday",OR(C23="Legal Holiday",C23="Working - Legal Holiday on RD",C23="Working - Special Holiday on RD",C23="Normal",C23="Rest Day",C23="Legal Holiday on RD",C23="Special Holiday on RD",C23="Working - Rest Day",C23="Leave")),BQ22,0)</f>
        <v>0</v>
      </c>
      <c r="CZ22" s="93" t="n">
        <f aca="false">IF(AND(C22="Working - Legal Holiday on RD",OR(C23="Legal Holiday",C23="Special Holiday",C23="Working - Special Holiday on RD",C23="Normal",C23="Rest Day",C23="Special Holiday on RD",C23="Working - Rest Day",C23="Leave")),BQ22,0)</f>
        <v>0</v>
      </c>
      <c r="DA22" s="93" t="n">
        <f aca="false">IF(AND(C22="Working - Special Holiday on RD",OR(C23="Legal Holiday",C23="Special Holiday",C23="Working - Legal Holiday on RD",C23="Normal",C23="Rest Day",C23="Leave",C23="Legal Holiday on RD")),BQ22,0)</f>
        <v>0</v>
      </c>
      <c r="DB22" s="93" t="n">
        <f aca="false">IF(OR(C21="Special Holiday",C21="Working - Legal Holiday on RD",C21="Working - Special Holiday on RD",C21="Legal Holiday"),BQ21,0)</f>
        <v>0</v>
      </c>
      <c r="DC22" s="93" t="n">
        <f aca="false">IF(AND(C22="Working - Rest Day",OR(C21="Special Holiday",C21="Working - Legal Holiday on RD",C21="Working - Special Holiday on RD",C21="Normal",C21="Legal Holiday")),BQ21,0)</f>
        <v>0</v>
      </c>
      <c r="DD22" s="93" t="n">
        <f aca="false">IF(AND(OR(C22="Legal Holiday",C22="Legal Holiday on a Rest Day"),OR(C21="Special Holiday",C21="Working - Legal Holiday on RD",C21="Working - Special Holiday on RD",C21="Normal")),BQ21,0)</f>
        <v>0</v>
      </c>
      <c r="DE22" s="93" t="n">
        <f aca="false">IF(AND(OR(C22="Special Holiday",C22="Special Holiday on RD"),OR(C21="Legal Holiday",C21="Working - Legal Holiday on RD",C21="Working - Special Holiday on RD",C21="Normal")),BQ21,0)</f>
        <v>0</v>
      </c>
      <c r="DF22" s="93" t="n">
        <f aca="false">IF(AND(C22="Working - Legal Holiday on a RD",OR(C21="Legal Holiday",C21="Special Holiday",C21="Working - Special Holiday on RD",C21="Normal")),BQ21,0)</f>
        <v>0</v>
      </c>
      <c r="DG22" s="93" t="n">
        <f aca="false">IF(AND(C22="Working - Special Holiday on RD",OR(C21="Legal Holiday",C21="Special Holiday",C21="Working - Legal Holiday on RD",C21="Normal")),BQ21,0)</f>
        <v>0</v>
      </c>
      <c r="DH22" s="93" t="n">
        <f aca="false">IF(OR(C23="Special Holiday",C23="Working - Legal Holiday on RD",C23="Working - Special Holiday on RD",C23="Legal Holiday",C23="Legal Holiday on RD",C23="Special Holiday on RD",),BO22,0)</f>
        <v>0</v>
      </c>
      <c r="DI22" s="93" t="n">
        <f aca="false">IF(AND(C22="Working - Rest Day",OR(C23="Special Holiday",C23="Working - Legal Holiday on RD",C23="Working - Special Holiday on RD",C23="Legal Holiday",C23="Legal Holiday on RD",C23="Special Holiday on RD",C23="Leave")),BO22,0)</f>
        <v>0</v>
      </c>
      <c r="DJ22" s="93" t="n">
        <f aca="false">IF(AND(C22="Legal Holiday",OR(C23="Special Holiday",C23="Legal Holiday on RD",C23="Special Holiday on RD",C23="Normal",C23="Rest Day",C23="Working - Legal Holiday on RD",C23="Working - Special Holiday on RD",C23="Working - Rest Day",C23="Leave")),BO22,0)</f>
        <v>0</v>
      </c>
      <c r="DK22" s="93" t="n">
        <f aca="false">IF(AND(C22="Special Holiday",OR(C23="Legal Holiday",C23="Working - Legal Holiday on RD",C23="Working - Special Holiday on RD",C23="Normal",C23="Rest Day",C23="Legal Holiday on RD",C23="Special Holiday on RD",C23="Working - Rest Day",C23="Leave")),BO22,0)</f>
        <v>0</v>
      </c>
      <c r="DL22" s="93" t="n">
        <f aca="false">IF(AND(C22="Working - Legal Holiday on RD",OR(C23="Legal Holiday",C23="Special Holiday",C23="Working - Special Holiday on RD",C23="Normal",C23="Rest Day",C23="Special Holiday on RD",C23="Working - Rest Day",C23="Leave")),BO22,0)</f>
        <v>0</v>
      </c>
      <c r="DM22" s="93" t="n">
        <f aca="false">IF(AND(C22="Working - Special Holiday on RD",OR(C23="Legal Holiday",C23="Special Holiday",C23="Working - Legal Holiday on RD",C23="Normal",C23="Rest Day",C23="Leave",C23="Legal Holiday on RD")),BO22,0)</f>
        <v>0</v>
      </c>
      <c r="DN22" s="93" t="n">
        <f aca="false">IF(OR(C21="Special Holiday",C21="Working - Legal Holiday on RD",C21="Working - Special Holiday on RD",C21="Legal Holiday"),BO21,0)</f>
        <v>0</v>
      </c>
      <c r="DO22" s="93" t="n">
        <f aca="false">IF(AND(C22="Working - Rest Day",OR(C21="Special Holiday",C21="Working - Legal Holiday on RD",C21="Working - Special Holiday on RD",C21="Normal",C21="Legal Holiday")),BO21,0)</f>
        <v>0</v>
      </c>
      <c r="DP22" s="93" t="n">
        <f aca="false">IF(AND(OR(C22="Legal Holiday",C22="Legal Holiday on a Rest Day"),OR(C21="Special Holiday",C21="Working - Legal Holiday on RD",C21="Working - Special Holiday on RD",C21="Normal")),BO21,0)</f>
        <v>0</v>
      </c>
      <c r="DQ22" s="93" t="n">
        <f aca="false">IF(AND(OR(C22="Special Holiday",C22="Special Holiday on RD"),OR(C21="Legal Holiday",C21="Working - Legal Holiday on RD",C21="Working - Special Holiday on RD",C21="Normal")),BO21,0)</f>
        <v>0</v>
      </c>
      <c r="DR22" s="93" t="n">
        <f aca="false">IF(AND(C22="Working - Legal Holiday on a RD",OR(C21="Legal Holiday",C21="Special Holiday",C21="Working - Special Holiday on RD",C21="Normal")),BO21,0)</f>
        <v>0</v>
      </c>
      <c r="DS22" s="93" t="n">
        <f aca="false">IF(AND(C22="Working - Special Holiday on RD",OR(C21="Legal Holiday",C21="Special Holiday",C21="Working - Legal Holiday on RD",C21="Normal")),BO21,0)</f>
        <v>0</v>
      </c>
    </row>
    <row r="23" s="6" customFormat="true" ht="14.25" hidden="false" customHeight="true" outlineLevel="0" collapsed="false">
      <c r="A23" s="79" t="n">
        <v>46198</v>
      </c>
      <c r="B23" s="80" t="str">
        <f aca="false">TEXT(WEEKDAY(A23),"ddd")</f>
        <v>Thu</v>
      </c>
      <c r="C23" s="81" t="s">
        <v>4</v>
      </c>
      <c r="D23" s="82" t="n">
        <v>0.354166666666667</v>
      </c>
      <c r="E23" s="79" t="n">
        <v>46198</v>
      </c>
      <c r="F23" s="82" t="n">
        <v>0.8125</v>
      </c>
      <c r="G23" s="82" t="n">
        <v>0.354166666666667</v>
      </c>
      <c r="H23" s="82" t="n">
        <v>0.8125</v>
      </c>
      <c r="I23" s="83" t="n">
        <f aca="false">IFERROR(IF(N23="Strict",IF(C23="Normal",IFERROR(IF((HOUR(IF(AQ23&lt;=AR23,BB23-AR23,BB23-AQ23))+MINUTE(IF(AQ23&lt;=AR23,BB23-AR23,BB23-AQ23))/60)&gt;=6,HOUR(IF(AQ23&lt;=AR23,BB23-AR23,BB23-AQ23))+MINUTE(IF(AQ23&lt;=AR23,BB23-AR23,BB23-AQ23))/60-1,HOUR(IF(AQ23&lt;=AR23,BB23-AR23,BB23-AQ23))+MINUTE(IF(AQ23&lt;=AR23,BB23-AR23,BB23-AQ23))/60),0),0),IF(N23="Flexi",IF(C23="Normal",IF((HOUR(BB23-AR23)+MINUTE(BB23-AR23)/60)&gt;=6,(HOUR(BB23-AR23)+MINUTE(BB23-AR23)/60)-1,(HOUR(BB23-AR23)+MINUTE(BB23-AR23)/60)),0),0)),0)</f>
        <v>0</v>
      </c>
      <c r="J23" s="82"/>
      <c r="K23" s="79"/>
      <c r="L23" s="84"/>
      <c r="M23" s="79"/>
      <c r="N23" s="79" t="s">
        <v>2</v>
      </c>
      <c r="O23" s="85"/>
      <c r="P23" s="79"/>
      <c r="Q23" s="86" t="s">
        <v>110</v>
      </c>
      <c r="R23" s="87" t="n">
        <f aca="false">IF(AND(C23="Normal",I23&gt;0),(8-S23),0)-IF(AND(C23="Normal",OR(C24="Special Holiday",C24="Working - Legal Holiday on RD",C24="Working - Special Holiday on RD",C24="Legal Holiday",C24="Legal Holiday on RD",C24="Special Holiday on RD")),BN23,0)+IF(AND(OR(C23="Normal",C23="Leave",C23="Rest Day"),OR(C22="Special Holiday",C22="Working - Legal Holiday on RD",C22="Working - Special Holiday on RD",C22="Legal Holiday")),BN22,0)</f>
        <v>0</v>
      </c>
      <c r="S23" s="87" t="n">
        <f aca="false">IF(C23="Normal",IF(P23="Remain Lates",(IFERROR(IF(N23="Strict",IF(C23="Normal",IF(AQ23&lt;=AR23,HOUR(AR23-AQ23)+(MINUTE(AR23-AQ23)/60),0)+IF(BB23&lt;=BC23,HOUR(BC23-BB23)+(MINUTE(BC23-BB23)/60),0),0),IF(I23=0,0,(8-I23))),0)-(O23/60)),IF((O23/60)&gt;=IFERROR(IF(N23="Strict",IF(C23="Normal",IF(AQ23&lt;=AR23,HOUR(AR23-AQ23)+(MINUTE(AR23-AQ23)/60),0)+IF(BB23&lt;=BC23,HOUR(BC23-BB23)+(MINUTE(BC23-BB23)/60),0),0),IF(I23=0,0,(8-I23))),0),0,IFERROR(IF(N23="Strict",IF(C23="Normal",IF(AQ23&lt;=AR23,HOUR(AR23-AQ23)+(MINUTE(AR23-AQ23)/60),0)+IF(BB23&lt;=BC23,HOUR(BC23-BB23)+(MINUTE(BC23-BB23)/60),0),0),IF(I23=0,0,(8-I23))),0))),0)</f>
        <v>0</v>
      </c>
      <c r="T23" s="88" t="n">
        <f aca="false">IF(AND(C23="Working - Rest Day",BW23&gt;0),(8-IF(BV23&gt;6,BV23-1,BV23)),0)-IF(AND(C23="Working - Rest Day",OR(C24="Special Holiday",C24="Working - Legal Holiday on RD",C24="Working - Special Holiday on RD",C24="Legal Holiday",C24="Legal Holiday on RD",C24="Special Holiday on RD")),BN23,0)+IF(AND(C23="Working - Rest Day",OR(C22="Special Holiday",C22="Working - Legal Holiday on RD",C22="Working - Special Holiday on RD",C22="Legal Holiday")),BN22,0)</f>
        <v>0</v>
      </c>
      <c r="U23" s="88" t="n">
        <f aca="false">IF(AND(C23="Legal Holiday",BW23&gt;0),(8-IF(BV23&gt;6,BV23-1,BV23)),0)-IF(AND(C23="Legal Holiday",OR(C24="Special Holiday",C24="Legal Holiday on RD",C24="Special Holiday on RD",C24="Normal",C24="Rest Day",C24="Working - Legal Holiday on RD",C24="Working - Special Holiday on RD",C24="Working - Rest Day",C24="Leave")),BN23,0)+IF(AND(OR(C23="Legal Holiday",C23="Legal Holiday on RD"),OR(C22="Special Holiday",C22="Working - Legal Holiday on RD",C22="Working - Special Holiday on RD",C22="Normal",C22="Working - Rest Day")),BN22,0)</f>
        <v>0</v>
      </c>
      <c r="V23" s="88" t="n">
        <f aca="false">IF(AND(C23="Special Holiday",BW23&gt;0),(8-IF(BV23&gt;6,BV23-1,BV23)),0)-IF(AND(C23="Special Holiday",OR(C24="Legal Holiday",C24="Working - Legal Holiday on RD",C24="Working - Special Holiday on RD",C24="Normal",C24="Rest Day",C24="Legal Holiday on RD",C24="Special Holiday on RD",C24="Working - Rest Day",C24="Leave")),BN23,0)+IF(AND(OR(C23="Special Holiday",C23="Special Holiday on RD"),OR(C22="Legal Holiday",C22="Working - Legal Holiday on RD",C22="Working - Special Holiday on RD",C22="Working - Rest Day",C22="Normal")),BN22,0)</f>
        <v>0</v>
      </c>
      <c r="W23" s="88" t="n">
        <f aca="false">IF(AND(C23="Working - Legal Holiday on RD",BW23&gt;0),(8-IF(BV23&gt;6,BV23-1,BV23)),0)-IF(AND(C23="Working - Legal Holiday on RD",OR(C24="Legal Holiday",C24="Special Holiday",C24="Working - Special Holiday on RD",C24="Normal",C24="Rest Day",C24="Special Holiday on RD",C24="Working - Rest Day",C24="Leave")),BN23,0)+IF(AND(C23="Working - Legal Holiday on RD",OR(C22="Legal Holiday",C22="Special Holiday",C22="Working - Special Holiday on RD",C22="Working - Rest Day",C22="Normal")),BN22,0)</f>
        <v>0</v>
      </c>
      <c r="X23" s="88" t="n">
        <f aca="false">IF(AND(C23="Working - Special Holiday on RD",BW23&gt;0),(8-IF(BV23&gt;6,BV23-1,BV23)),0)-IF(AND(C23="Working - Special Holiday on RD",OR(C24="Legal Holiday",C24="Special Holiday",C24="Working - Legal Holiday on RD",C24="Normal",C24="Rest Day",C24="Leave",C24="Working - Rest Day",C24="Legal Holiday on RD")),BN23,0)+IF(AND(C23="Working - Special Holiday on RD",OR(C22="Legal Holiday",C22="Special Holiday",C22="Working - Legal Holiday on RD",C22="Normal",C22="Working - Rest Day")),BN22,0)</f>
        <v>0</v>
      </c>
      <c r="Y23" s="88" t="n">
        <f aca="false">IFERROR(IF(C23="Normal",HOUR(AY23-AV23)+MINUTE(AY23-AV23)/60,0),0)-IFERROR(IF(C23="Normal",HOUR(BA23-AX23)+MINUTE(BA23-AX23)/60,0),0)-IF(AND(C23="Normal",OR(C24="Special Holiday",C24="Working - Legal Holiday on RD",C24="Working - Special Holiday on RD",C24="Legal Holiday",C24="Legal Holiday on RD",C24="Special Holiday on RD")),BP23,0)+IF(AND(OR(C23="Normal",C23="Rest Day",C23="Leave"),OR(C22="Special Holiday",C22="Working - Legal Holiday on RD",C22="Working - Special Holiday on RD",C22="Legal Holiday")),BP22,0)</f>
        <v>0</v>
      </c>
      <c r="Z23" s="88" t="n">
        <f aca="false">IFERROR(IF(C23="Working - Rest Day",HOUR(AY23-AV23)+MINUTE(AY23-AV23)/60,0),0)-IFERROR(IF(C23="Working - Rest Day",HOUR(BA23-AX23)+MINUTE(BA23-AX23)/60,0),0)-IF(AND(C23="Working - Rest Day",OR(C24="Special Holiday",C24="Working - Legal Holiday on RD",C24="Working - Special Holiday on RD",C24="Legal Holiday",C24="Legal Holiday on RD",C24="Special Holiday on RD")),BP23,0)+IF(AND(C23="Working - Rest Day",OR(C22="Special Holiday",C22="Working - Legal Holiday on RD",C22="Working - Special Holiday on RD",C22="Legal Holiday")),BP22,0)</f>
        <v>0</v>
      </c>
      <c r="AA23" s="88" t="n">
        <f aca="false">IFERROR(IF(C23="Legal Holiday",HOUR(AY23-AV23)+MINUTE(AY23-AV23)/60,0),0)-IFERROR(IF(C23="Legal Holiday",HOUR(BA23-AX23)+MINUTE(BA23-AX23)/60,0),0)-IF(AND(C23="Legal Holiday",OR(C24="Special Holiday",C24="Legal Holiday on RD",C24="Special Holiday on RD",C24="Normal",C24="Rest Day",C24="Working - Legal Holiday on RD",C24="Working - Special Holiday on RD",C24="Working - Rest Day",C24="Leave")),BP23,0)+IF(AND(OR(C23="Legal Holiday",C23="Legal Holiday on RD"),OR(C22="Special Holiday",C22="Working - Legal Holiday on RD",C22="Working - Special Holiday on RD",C22="Normal",C22="Working - Rest Day")),BP22,0)</f>
        <v>0</v>
      </c>
      <c r="AB23" s="88" t="n">
        <f aca="false">IFERROR(IF(C23="Special Holiday",HOUR(AY23-AV23)+MINUTE(AY23-AV23)/60,0),0)-IFERROR(IF(C23="Special Holiday",HOUR(BA23-AX23)+MINUTE(BA23-AX23)/60,0),0)-IF(AND(C23="Special Holiday",OR(C24="Legal Holiday",C24="Working - Legal Holiday on RD",C24="Working - Special Holiday on RD",C24="Normal",C24="Rest Day",C24="Legal Holiday on RD",C24="Special Holiday on RD",C24="Working - Rest Day",C24="Leave")),BP23,0)+IF(AND(OR(C23="Special Holiday",C23="Special Holiday on RD"),OR(C22="Legal Holiday",C22="Working - Legal Holiday on RD",C22="Working - Special Holiday on RD",C22="Normal",C22="Working - Rest Day")),BP22,0)</f>
        <v>0</v>
      </c>
      <c r="AC23" s="88" t="n">
        <f aca="false">IFERROR(IF(C23="Working - Legal Holiday on RD",HOUR(AY23-AV23)+MINUTE(AY23-AV23)/60,0),0)-IFERROR(IF(C23="Working - Legal Holiday on RD",HOUR(BA23-AX23)+MINUTE(BA23-AX23)/60,0),0)-IF(AND(C23="Working - Legal Holiday on RD",OR(C24="Legal Holiday",C24="Special Holiday",C24="Working - Special Holiday on RD",C24="Normal",C24="Rest Day",C24="Special Holiday on RD",C24="Working - Rest Day",C24="Leave")),BP23,0)+IF(AND(C23="Working - Legal Holiday on RD",OR(C22="Legal Holiday",C22="Special Holiday",C22="Working - Special Holiday on RD",C22="Normal",C22="Working - Rest Day")),BP22,0)</f>
        <v>0</v>
      </c>
      <c r="AD23" s="88" t="n">
        <f aca="false">IFERROR(IF(C23="Working - Special Holiday on RD",HOUR(AY23-AV23)+MINUTE(AY23-AV23)/60,0),0)-IFERROR(IF(C23="Working - Special Holiday on RD",HOUR(BA23-AX23)+MINUTE(BA23-AX23)/60,0),0)-IF(AND(C23="Working - Special Holiday on RD",OR(C24="Legal Holiday",C24="Special Holiday",C24="Working - Legal Holiday on RD",C24="Normal",C24="Rest Day",C24="Working - Rest Day",C24="Leave",C24="Legal Holiday on RD")),BP23,0)+IF(AND(C23="Working - Special Holiday on RD",OR(C22="Legal Holiday",C22="Special Holiday",C22="Working - Legal Holiday on RD",C22="Normal",C22="Working - Rest Day")),BP22,0)</f>
        <v>0</v>
      </c>
      <c r="AE23" s="88" t="n">
        <f aca="false">IFERROR(IF(C23="Normal",HOUR(BA23-AX23)+MINUTE(BA23-AX23)/60,0),0)-IF(AND(C23="Normal",OR(C24="Special Holiday",C24="Working - Legal Holiday on RD",C24="Working - Special Holiday on RD",C24="Legal Holiday",C24="Legal Holiday on RD",C24="Special Holiday on RD")),BQ23,0)+IF(AND(OR(C23="Normal",C23="Rest Day",C23="Leave"),OR(C22="Special Holiday",C22="Working - Legal Holiday on RD",C22="Working - Special Holiday on RD",C22="Legal Holiday")),BQ22,0)</f>
        <v>0</v>
      </c>
      <c r="AF23" s="88" t="n">
        <f aca="false">IFERROR(IF(C23="Working - Rest Day",HOUR(BA23-AX23)+MINUTE(BA23-AX23)/60,0),0)-IF(AND(C23="Working - Rest Day",OR(C24="Special Holiday",C24="Working - Legal Holiday on RD",C24="Working - Special Holiday on RD",C24="Legal Holiday",C24="Legal Holiday on RD",C24="Special Holiday on RD")),BQ23,0)+IF(AND(C23="Working - Rest Day",OR(C22="Special Holiday",C22="Working - Legal Holiday on RD",C22="Working - Special Holiday on RD",C22="Legal Holiday")),BQ22,0)</f>
        <v>0</v>
      </c>
      <c r="AG23" s="88" t="n">
        <f aca="false">IFERROR(IF(C23="Legal Holiday",HOUR(BA23-AX23)+MINUTE(BA23-AX23)/60,0),0)-IF(AND(C23="Legal Holiday",OR(C24="Special Holiday",C24="Legal Holiday on RD",C24="Special Holiday on RD",C24="Normal",C24="Rest Day",C24="Working - Legal Holiday on RD",C24="Working - Special Holiday on RD",C24="Working - Rest Day",C24="Leave")),BQ23,0)+IF(AND(OR(C23="Legal Holiday",C23="Legal Holiday on RD"),OR(C22="Special Holiday",C22="Working - Legal Holiday on RD",C22="Working - Special Holiday on RD",C22="Normal",C22="Working - Rest Day")),BQ22,0)</f>
        <v>0</v>
      </c>
      <c r="AH23" s="88" t="n">
        <f aca="false">IFERROR(IF(C23="Special Holiday",HOUR(BA23-AX23)+MINUTE(BA23-AX23)/60,0),0)-IF(AND(C23="Special Holiday",OR(C24="Legal Holiday",C24="Working - Legal Holiday on RD",C24="Working - Special Holiday on RD",C24="Normal",C24="Rest Day",C24="Legal Holiday on RD",C24="Special Holiday on RD",C24="Working - Rest Day",C24="Leave")),BQ23,0)+IF(AND(OR(C23="Special Holiday",C23="Special Holiday on RD"),OR(C22="Legal Holiday",C22="Working - Legal Holiday on RD",C22="Working - Special Holiday on RD",C22="Normal",C22="Working - Rest Day")),BQ22,0)</f>
        <v>0</v>
      </c>
      <c r="AI23" s="88" t="n">
        <f aca="false">IFERROR(IF(C23="Working - Legal Holiday on RD",HOUR(BA23-AX23)+MINUTE(BA23-AX23)/60,0),0)-IF(AND(C23="Working - Legal Holiday on RD",OR(C24="Legal Holiday",C24="Special Holiday",C24="Working - Special Holiday on RD",C24="Normal",C24="Rest Day",C24="Special Holiday on RD",C24="Working - Rest Day",C24="Leave")),BQ23,0)+IF(AND(C23="Working - Legal Holiday on RD",OR(C22="Legal Holiday",C22="Special Holiday",C22="Working - Special Holiday on RD",C22="Normal",C22="Working - Rest Day")),BQ22,0)</f>
        <v>0</v>
      </c>
      <c r="AJ23" s="88" t="n">
        <f aca="false">IFERROR(IF(C23="Working - Special Holiday on RD",HOUR(BA23-AX23)+MINUTE(BA23-AX23)/60,0),0)-IF(AND(C23="Working - Special Holiday on RD",OR(C24="Legal Holiday",C24="Special Holiday",C24="Working - Legal Holiday on RD",C24="Normal",C24="Rest Day",C24="Working - Rest Day",C24="Leave",C24="Legal Holiday on RD")),BQ23,0)+IF(AND(C23="Working - Special Holiday on RD",OR(C22="Legal Holiday",C22="Special Holiday",C22="Working - Legal Holiday on RD",C22="Normal",C22="Working - Rest Day")),BQ22,0)</f>
        <v>0</v>
      </c>
      <c r="AK23" s="88" t="n">
        <f aca="false">IFERROR(IF(C23="Normal",HOUR(BF23-AU23)+(MINUTE(BF23-AU23)/60),0),0)-IF(AND(C23="Normal",OR(C24="Special Holiday",C24="Working - Legal Holiday on RD",C24="Working - Special Holiday on RD",C24="Legal Holiday",C24="Legal Holiday on RD",C24="Special Holiday on RD")),BO23,0)+IF(AND(OR(C23="Normal",C23="Rest Day",C23="Leave"),OR(C22="Special Holiday",C22="Working - Legal Holiday on RD",C22="Working - Special Holiday on RD",C22="Legal Holiday")),BO22,0)</f>
        <v>0</v>
      </c>
      <c r="AL23" s="88" t="n">
        <f aca="false">IFERROR(IF(C23="Working - Rest Day",HOUR(BF23-AU23)+(MINUTE(BF23-AU23)/60),0),0)-IF(AND(C23="Working - Rest Day",OR(C24="Special Holiday",C24="Working - Legal Holiday on RD",C24="Working - Special Holiday on RD",C24="Legal Holiday",C24="Legal Holiday on RD",C24="Special Holiday on RD")),BO23,0)+IF(AND(C23="Working - Rest Day",OR(C22="Special Holiday",C22="Working - Legal Holiday on RD",C22="Working - Special Holiday on RD",C22="Legal Holiday")),BO22,0)</f>
        <v>0</v>
      </c>
      <c r="AM23" s="88" t="n">
        <f aca="false">IFERROR(IF(C23="Legal Holiday",HOUR(BF23-AU23)+(MINUTE(BF23-AU23)/60),0),0)-IF(AND(C23="Legal Holiday",OR(C24="Special Holiday",C24="Legal Holiday on RD",C24="Special Holiday on RD",C24="Normal",C24="Rest Day",C24="Working - Legal Holiday on RD",C24="Working - Special Holiday on RD",C24="Working - Rest Day",C24="Leave")),BO23,0)+IF(AND(OR(C23="Legal Holiday",C23="Legal Holiday on RD"),OR(C22="Special Holiday",C22="Working - Legal Holiday on RD",C22="Working - Special Holiday on RD",C22="Normal",C22="Working - Rest Day")),BO22,0)</f>
        <v>0</v>
      </c>
      <c r="AN23" s="88" t="n">
        <f aca="false">IFERROR(IF(C23="Special Holiday",HOUR(BF23-AU23)+(MINUTE(BF23-AU23)/60),0),0)-IF(AND(C23="Special Holiday",OR(C24="Legal Holiday",C24="Working - Legal Holiday on RD",C24="Working - Special Holiday on RD",C24="Normal",C24="Rest Day",C24="Legal Holiday on RD",C24="Special Holiday on RD",C24="Working - Rest Day",C24="Leave")),BO23,0)+IF(AND(OR(C23="Special Holiday",C23="Special Holiday on RD"),OR(C22="Legal Holiday",C22="Working - Legal Holiday on RD",C22="Working - Special Holiday on RD",C22="Normal",C22="Working - Rest Day")),BO22,0)</f>
        <v>0</v>
      </c>
      <c r="AO23" s="88" t="n">
        <f aca="false">IFERROR(IF(C23="Working - Legal Holiday on RD",HOUR(BF23-AU23)+(MINUTE(BF23-AU23)/60),0),0)-IF(AND(C23="Working - Legal Holiday on RD",OR(C24="Legal Holiday",C24="Special Holiday",C24="Working - Special Holiday on RD",C24="Normal",C24="Rest Day",C24="Special Holiday on RD",C24="Working - Rest Day",C24="Leave")),BO23,0)+IF(AND(C23="Working - Legal Holiday on RD",OR(C22="Legal Holiday",C22="Special Holiday",C22="Working - Special Holiday on RD",C22="Normal",C22="Working - Rest Day")),BO22,0)</f>
        <v>0</v>
      </c>
      <c r="AP23" s="88" t="n">
        <f aca="false">IFERROR(IF(C23="Working - Special Holiday on RD",HOUR(BF23-AU23)+(MINUTE(BF23-AU23)/60),0),0)-IF(AND(C23="Working - Special Holiday on RD",OR(C24="Legal Holiday",C24="Special Holiday",C24="Working - Legal Holiday on RD",C24="Normal",C24="Rest Day",C24="Working - Rest Day",C24="Leave",C24="Legal Holiday on RD")),BO23,0)+IF(AND(C23="Working - Special Holiday on RD",OR(C22="Legal Holiday",C22="Special Holiday",C22="Working - Legal Holiday on RD",C22="Normal",C22="Working - Rest Day")),BO22,0)</f>
        <v>0</v>
      </c>
      <c r="AQ23" s="89" t="str">
        <f aca="false">TEXT(D23,"HH:MM")&amp;" "&amp;TEXT(A23,"DD-mmm-YY")</f>
        <v>08:30 25-Jun-26</v>
      </c>
      <c r="AR23" s="89" t="str">
        <f aca="false">TEXT(G23,"HH:MM")&amp;" "&amp;TEXT(A23,"DD-mmm-YY")</f>
        <v>08:30 25-Jun-26</v>
      </c>
      <c r="AS23" s="60" t="str">
        <f aca="false">IF($AR$1&lt;D23,AR23,IF(AT23&lt;=AR23,AR23,AT23))</f>
        <v>22:00 25-Jun-26</v>
      </c>
      <c r="AT23" s="60" t="str">
        <f aca="false">IF(AND(D23&gt;=0,D23&lt;0.25),TEXT($AR$1,"HH:MM")&amp;" "&amp;TEXT((A23-1),"dd-mmm-yy"),TEXT($AR$1,"HH:MM")&amp;" "&amp;TEXT(A23,"dd-mmm-yy"))</f>
        <v>22:00 25-Jun-26</v>
      </c>
      <c r="AU23" s="40" t="e">
        <f aca="false" t="array" ref="AU23:AU23">MAX(AQ23:AS23+0)</f>
        <v>#VALUE!</v>
      </c>
      <c r="AV23" s="60" t="str">
        <f aca="false">TEXT(J23,"HH:MM")&amp;" "&amp;TEXT(K23,"DD-mmm-YY")</f>
        <v>00:00 00-Jan-00</v>
      </c>
      <c r="AW23" s="60" t="str">
        <f aca="false">IF(K23&lt;A23,TEXT($AR$1,"HH:MM")&amp;" "&amp;TEXT((A23-1),"dd-mmm-yy"),IF(AND(D23&gt;0,D23&lt;0.25,L23&lt;0.916666666666667,A23&lt;M23),TEXT($AR$1,"HH:MM")&amp;" "&amp;TEXT((A23-1),"dd-mmm-yy"),TEXT($AR$1,"HH:MM")&amp;" "&amp;TEXT(A23,"dd-mmm-yy")))</f>
        <v>22:00 24-Jun-26</v>
      </c>
      <c r="AX23" s="40" t="e">
        <f aca="false" t="array" ref="AX23:AX23">MAX(AV23:AW23+0)</f>
        <v>#VALUE!</v>
      </c>
      <c r="AY23" s="60" t="str">
        <f aca="false">TEXT(L23,"HH:MM")&amp;" "&amp;TEXT(M23,"DD-mmm-YY")</f>
        <v>00:00 00-Jan-00</v>
      </c>
      <c r="AZ23" s="60" t="str">
        <f aca="false">IF(AND(D23&gt;=0,D23&lt;0.25,L23&lt;0.916666666666667,A23&gt;M23),TEXT($AR$2,"HH:MM")&amp;" "&amp;TEXT(A23,"DD-mmm-YY"),TEXT($AR$2,"HH:MM")&amp;" "&amp;TEXT((A23+1),"DD-mmm-YY"))</f>
        <v>06:00 26-Jun-26</v>
      </c>
      <c r="BA23" s="40" t="e">
        <f aca="false" t="array" ref="BA23:BA23">MIN(AY23:AZ23+0)</f>
        <v>#VALUE!</v>
      </c>
      <c r="BB23" s="60" t="str">
        <f aca="false">IF(G23&gt;H23,TEXT(H23,"HH:MM")&amp;" "&amp;TEXT(E23,"DD-mmm-YY"),IF(H23&gt;1,TEXT(H23,"HH:MM")&amp;" "&amp;TEXT(E23,"DD-mmm-YY"),TEXT(H23,"HH:MM")&amp;" "&amp;TEXT(A23,"DD-mmm-YY")))</f>
        <v>19:30 25-Jun-26</v>
      </c>
      <c r="BC23" s="60" t="str">
        <f aca="false">IF(N23="Flexi",TEXT(G23+$BC$1,"HH:MM")&amp;" "&amp;TEXT(E23,"DD-mmm-YY"),TEXT(F23,"HH:MM")&amp;" "&amp;TEXT(E23,"DD-mmm-YY"))</f>
        <v>19:30 25-Jun-26</v>
      </c>
      <c r="BD23" s="90" t="e">
        <f aca="false" t="array" ref="BD23:BD23">MIN(BB23:BC23+0)</f>
        <v>#VALUE!</v>
      </c>
      <c r="BE23" s="60" t="str">
        <f aca="false">IF(D23&gt;0.25,TEXT($AR$2,"HH:MM")&amp;" "&amp;TEXT(IF(BG23&lt;H23,A23+1,E23),"DD-mmm-YY"),IF(D23&gt;=0,TEXT($AR$2,"HH:MM")&amp;" "&amp;TEXT(IF(BG23&lt;H23,A23+1,E23)-1,"DD-mmm-YY"),TEXT($AR$2,"HH:MM")&amp;" "&amp;TEXT(IF(BG23&lt;H23,A23+1,E23),"DD-mmm-YY")))</f>
        <v>06:00 26-Jun-26</v>
      </c>
      <c r="BF23" s="40" t="e">
        <f aca="false" t="array" ref="BF23:BF23">IF(N23="Flexi",IF(AND(BB23&gt;BC23,BB23&lt;BE23),BB23,MIN(BB23:BE23+0)),MIN(BB23:BE23+0))</f>
        <v>#VALUE!</v>
      </c>
      <c r="BG23" s="7" t="n">
        <v>0</v>
      </c>
      <c r="BH23" s="9" t="str">
        <f aca="false">TEXT(BG23,"HH:MM")&amp;" "&amp;TEXT(A23+1,"DD-mmm-YY")</f>
        <v>00:00 26-Jun-26</v>
      </c>
      <c r="BI23" s="9" t="str">
        <f aca="false">AV23</f>
        <v>00:00 00-Jan-00</v>
      </c>
      <c r="BJ23" s="91" t="e">
        <f aca="false" t="array" ref="BJ23:BJ23">MAX(BH23:BI23+0)</f>
        <v>#VALUE!</v>
      </c>
      <c r="BK23" s="9" t="str">
        <f aca="false">TEXT($AR$2,"HH:MM")&amp;" "&amp;TEXT(A23+1,"DD-mmm-YY")</f>
        <v>06:00 26-Jun-26</v>
      </c>
      <c r="BL23" s="9" t="str">
        <f aca="false">AY23</f>
        <v>00:00 00-Jan-00</v>
      </c>
      <c r="BM23" s="91" t="e">
        <f aca="false" t="array" ref="BM23:BM23">MIN(BK23:BL23+0)</f>
        <v>#VALUE!</v>
      </c>
      <c r="BN23" s="13" t="n">
        <f aca="false">IF(IFERROR(IF(E23&gt;A23,IF(BD23&gt;=BD23,HOUR(BD23-BH23)+MINUTE(BD23-BH23)/60,0),0),0)&gt;5,(IFERROR(IF(E23&gt;A23,IF(BD23&gt;=BD23,HOUR(BD23-BH23)+MINUTE(BD23-BH23)/60,0),0),0)-1),IFERROR(IF(E23&gt;A23,IF(BD23&gt;=BD23,HOUR(BD23-BH23)+MINUTE(BD23-BH23)/60,0),0),0))</f>
        <v>0</v>
      </c>
      <c r="BO23" s="13" t="n">
        <f aca="false">IFERROR(IF(E23&gt;A23,HOUR(BF23-BH23)+MINUTE(BF23-BH23)/60,0),0)</f>
        <v>0</v>
      </c>
      <c r="BP23" s="92" t="n">
        <f aca="false">IF(AND(A23&lt;M23,L23&gt;0.25,L23&lt;=0.916666666666667,J23&gt;=0.25),IFERROR(HOUR(AY23-AV23)+MINUTE(AY23-AV23)/60,0),IFERROR(HOUR(AY23-BK23)+MINUTE(AY23-BK23)/60,0))</f>
        <v>0</v>
      </c>
      <c r="BQ23" s="13" t="n">
        <f aca="false">IFERROR(HOUR(BM23-BJ23)+MINUTE(BM23-BJ23)/60,0)</f>
        <v>0</v>
      </c>
      <c r="BR23" s="13" t="n">
        <f aca="false">IF(AND(C23=C23,BW23&gt;0),(8-BV23),0)-BN23</f>
        <v>0</v>
      </c>
      <c r="BS23" s="13" t="n">
        <f aca="false">IFERROR(IF(C23=C23,HOUR(BF23-AU23)+(MINUTE(BF23-AU23)/60),0),0)-BO23</f>
        <v>0</v>
      </c>
      <c r="BT23" s="92" t="n">
        <f aca="false">IFERROR(IF(C23=C23,HOUR(AY23-AV23)+MINUTE(AY23-AV23)/60,0),0)-IFERROR(IF(C23=C23,HOUR(BA23-AX23)+MINUTE(BA23-AX23)/60,0),0)-BP23</f>
        <v>0</v>
      </c>
      <c r="BU23" s="13" t="n">
        <f aca="false">IFERROR(IF(C23=C23,HOUR(BA23-AX23)+MINUTE(BA23-AX23)/60,0),0)-BQ23</f>
        <v>0</v>
      </c>
      <c r="BV23" s="13" t="n">
        <f aca="false">IF(C23=C23,IF(P23="Remain Lates",(IFERROR(IF(N23="Strict",IF(C23=C23,IF(AQ23&lt;=AR23,HOUR(AR23-AQ23)+(MINUTE(AR23-AQ23)/60),0)+IF(BB23&lt;=BC23,HOUR(BC23-BB23)+(MINUTE(BC23-BB23)/60),0),0),IF(BW23=0,0,(8-BW23))),0)-(O23/60)),IF((O23/60)&gt;=IFERROR(IF(N23="Strict",IF(C23=C23,IF(AQ23&lt;=AR23,HOUR(AR23-AQ23)+(MINUTE(AR23-AQ23)/60),0)+IF(BB23&lt;=BC23,HOUR(BC23-BB23)+(MINUTE(BC23-BB23)/60),0),0),IF(BW23=0,0,(8-BW23))),0),0,IFERROR(IF(N23="Strict",IF(C23=C23,IF(AQ23&lt;=AR23,HOUR(AR23-AQ23)+(MINUTE(AR23-AQ23)/60),0)+IF(BB23&lt;=BC23,HOUR(BC23-BB23)+(MINUTE(BC23-BB23)/60),0),0),IF(BW23=0,0,(8-BW23))),0))),0)</f>
        <v>0</v>
      </c>
      <c r="BW23" s="13" t="n">
        <f aca="false">IFERROR(IF(N23="Strict",IF(C23=C23,IFERROR(IF((HOUR(IF(AQ23&lt;=AR23,BB23-AR23,BB23-AQ23))+MINUTE(IF(AQ23&lt;=AR23,BB23-AR23,BB23-AQ23))/60)&gt;=6,HOUR(IF(AQ23&lt;=AR23,BB23-AR23,BB23-AQ23))+MINUTE(IF(AQ23&lt;=AR23,BB23-AR23,BB23-AQ23))/60-1,HOUR(IF(AQ23&lt;=AR23,BB23-AR23,BB23-AQ23))+MINUTE(IF(AQ23&lt;=AR23,BB23-AR23,BB23-AQ23))/60),0),0),IF(N23="Flexi",IF(C23=C23,IF((HOUR(BB23-AR23)+MINUTE(BB23-AR23)/60)&gt;=6,(HOUR(BB23-AR23)+MINUTE(BB23-AR23)/60)-1,(HOUR(BB23-AR23)+MINUTE(BB23-AR23)/60)),0),0)),0)</f>
        <v>0</v>
      </c>
      <c r="BX23" s="93" t="n">
        <f aca="false">IF(OR(C24="Special Holiday",C24="Working - Legal Holiday on RD",C24="Working - Special Holiday on RD",C24="Legal Holiday",C24="Legal Holiday on RD",C24="Special Holiday on RD",),BN23,0)</f>
        <v>0</v>
      </c>
      <c r="BY23" s="93" t="n">
        <f aca="false">IF(AND(C23="Working - Rest Day",OR(C24="Special Holiday",C24="Working - Legal Holiday on RD",C24="Working - Special Holiday on RD",C24="Legal Holiday",C24="Legal Holiday on RD",C24="Special Holiday on RD",C24="Leave")),BN23,0)</f>
        <v>0</v>
      </c>
      <c r="BZ23" s="93" t="n">
        <f aca="false">IF(AND(C23="Legal Holiday",OR(C24="Special Holiday",C24="Legal Holiday on RD",C24="Special Holiday on RD",C24="Normal",C24="Rest Day",C24="Working - Legal Holiday on RD",C24="Working - Special Holiday on RD",C24="Working - Rest Day",C24="Leave")),BN23,0)</f>
        <v>0</v>
      </c>
      <c r="CA23" s="93" t="n">
        <f aca="false">IF(AND(C23="Special Holiday",OR(C24="Legal Holiday",C24="Working - Legal Holiday on RD",C24="Working - Special Holiday on RD",C24="Normal",C24="Rest Day",C24="Legal Holiday on RD",C24="Special Holiday on RD",C24="Working - Rest Day",C24="Leave")),BN23,0)</f>
        <v>0</v>
      </c>
      <c r="CB23" s="93" t="n">
        <f aca="false">IF(AND(C23="Working - Legal Holiday on RD",OR(C24="Legal Holiday",C24="Special Holiday",C24="Working - Special Holiday on RD",C24="Normal",C24="Rest Day",C24="Special Holiday on RD",C24="Working - Rest Day",C24="Leave")),BN23,0)</f>
        <v>0</v>
      </c>
      <c r="CC23" s="93" t="n">
        <f aca="false">IF(AND(C23="Working - Special Holiday on RD",OR(C24="Legal Holiday",C24="Special Holiday",C24="Working - Legal Holiday on RD",C24="Normal",C24="Rest Day",C24="Leave",C24="Legal Holiday on RD")),BN23,0)</f>
        <v>0</v>
      </c>
      <c r="CD23" s="93" t="n">
        <f aca="false">IF(OR(C22="Special Holiday",C22="Working - Legal Holiday on RD",C22="Working - Special Holiday on RD",C22="Legal Holiday"),BN22,0)</f>
        <v>0</v>
      </c>
      <c r="CE23" s="93" t="n">
        <f aca="false">IF(AND(C23="Working - Rest Day",OR(C22="Special Holiday",C22="Working - Legal Holiday on RD",C22="Working - Special Holiday on RD",C22="Normal",C22="Legal Holiday")),BN22,0)</f>
        <v>0</v>
      </c>
      <c r="CF23" s="93" t="n">
        <f aca="false">IF(AND(OR(C23="Legal Holiday",C23="Legal Holiday on a Rest Day"),OR(C22="Special Holiday",C22="Working - Legal Holiday on RD",C22="Working - Special Holiday on RD",C22="Normal")),BN22,0)</f>
        <v>0</v>
      </c>
      <c r="CG23" s="93" t="n">
        <f aca="false">IF(AND(OR(C23="Special Holiday",C23="Special Holiday on RD"),OR(C22="Legal Holiday",C22="Working - Legal Holiday on RD",C22="Working - Special Holiday on RD",C22="Normal")),BN22,0)</f>
        <v>0</v>
      </c>
      <c r="CH23" s="93" t="n">
        <f aca="false">IF(AND(C23="Working - Legal Holiday on a RD",OR(C22="Legal Holiday",C22="Special Holiday",C22="Working - Special Holiday on RD",C22="Normal")),BN22,0)</f>
        <v>0</v>
      </c>
      <c r="CI23" s="93" t="n">
        <f aca="false">IF(AND(C23="Working - Special Holiday on RD",OR(C22="Legal Holiday",C22="Special Holiday",C22="Working - Legal Holiday on RD",C22="Normal")),BN22,0)</f>
        <v>0</v>
      </c>
      <c r="CJ23" s="93" t="n">
        <f aca="false">IF(OR(C24="Special Holiday",C24="Working - Legal Holiday on RD",C24="Working - Special Holiday on RD",C24="Legal Holiday",C24="Legal Holiday on RD",C24="Special Holiday on RD",),BP23,0)</f>
        <v>0</v>
      </c>
      <c r="CK23" s="93" t="n">
        <f aca="false">IF(AND(C23="Working - Rest Day",OR(C24="Special Holiday",C24="Working - Legal Holiday on RD",C24="Working - Special Holiday on RD",C24="Legal Holiday",C24="Legal Holiday on RD",C24="Special Holiday on RD",C24="Leave")),BP23,0)</f>
        <v>0</v>
      </c>
      <c r="CL23" s="93" t="n">
        <f aca="false">IF(AND(C23="Legal Holiday",OR(C24="Special Holiday",C24="Legal Holiday on RD",C24="Special Holiday on RD",C24="Normal",C24="Rest Day",C24="Working - Legal Holiday on RD",C24="Working - Special Holiday on RD",C24="Working - Rest Day",C24="Leave")),BP23,0)</f>
        <v>0</v>
      </c>
      <c r="CM23" s="93" t="n">
        <f aca="false">IF(AND(C23="Special Holiday",OR(C24="Legal Holiday",C24="Working - Legal Holiday on RD",C24="Working - Special Holiday on RD",C24="Normal",C24="Rest Day",C24="Legal Holiday on RD",C24="Special Holiday on RD",C24="Working - Rest Day",C24="Leave")),BP23,0)</f>
        <v>0</v>
      </c>
      <c r="CN23" s="93" t="n">
        <f aca="false">IF(AND(C23="Working - Legal Holiday on RD",OR(C24="Legal Holiday",C24="Special Holiday",C24="Working - Special Holiday on RD",C24="Normal",C24="Rest Day",C24="Special Holiday on RD",C24="Working - Rest Day",C24="Leave")),BP23,0)</f>
        <v>0</v>
      </c>
      <c r="CO23" s="93" t="n">
        <f aca="false">IF(AND(C23="Working - Special Holiday on RD",OR(C24="Legal Holiday",C24="Special Holiday",C24="Working - Legal Holiday on RD",C24="Normal",C24="Rest Day",C24="Leave",C24="Legal Holiday on RD")),BP23,0)</f>
        <v>0</v>
      </c>
      <c r="CP23" s="93" t="n">
        <f aca="false">IF(OR(C22="Special Holiday",C22="Working - Legal Holiday on RD",C22="Working - Special Holiday on RD",C22="Legal Holiday"),BP22,0)</f>
        <v>0</v>
      </c>
      <c r="CQ23" s="93" t="n">
        <f aca="false">IF(AND(C23="Working - Rest Day",OR(C22="Special Holiday",C22="Working - Legal Holiday on RD",C22="Working - Special Holiday on RD",C22="Normal",C22="Legal Holiday")),BP22,0)</f>
        <v>0</v>
      </c>
      <c r="CR23" s="93" t="n">
        <f aca="false">IF(AND(OR(C23="Legal Holiday",C23="Legal Holiday on a Rest Day"),OR(C22="Special Holiday",C22="Working - Legal Holiday on RD",C22="Working - Special Holiday on RD",C22="Normal")),BP22,0)</f>
        <v>0</v>
      </c>
      <c r="CS23" s="93" t="n">
        <f aca="false">IF(AND(OR(C23="Special Holiday",C23="Special Holiday on RD"),OR(C22="Legal Holiday",C22="Working - Legal Holiday on RD",C22="Working - Special Holiday on RD",C22="Normal")),BP22,0)</f>
        <v>0</v>
      </c>
      <c r="CT23" s="93" t="n">
        <f aca="false">IF(AND(C23="Working - Legal Holiday on a RD",OR(C22="Legal Holiday",C22="Special Holiday",C22="Working - Special Holiday on RD",C22="Normal")),BP22,0)</f>
        <v>0</v>
      </c>
      <c r="CU23" s="93" t="n">
        <f aca="false">IF(AND(C23="Working - Special Holiday on RD",OR(C22="Legal Holiday",C22="Special Holiday",C22="Working - Legal Holiday on RD",C22="Normal")),BP22,0)</f>
        <v>0</v>
      </c>
      <c r="CV23" s="93" t="n">
        <f aca="false">IF(OR(C24="Special Holiday",C24="Working - Legal Holiday on RD",C24="Working - Special Holiday on RD",C24="Legal Holiday",C24="Legal Holiday on RD",C24="Special Holiday on RD",),BQ23,0)</f>
        <v>0</v>
      </c>
      <c r="CW23" s="93" t="n">
        <f aca="false">IF(AND(C23="Working - Rest Day",OR(C24="Special Holiday",C24="Working - Legal Holiday on RD",C24="Working - Special Holiday on RD",C24="Legal Holiday",C24="Legal Holiday on RD",C24="Special Holiday on RD",C24="Leave")),BQ23,0)</f>
        <v>0</v>
      </c>
      <c r="CX23" s="93" t="n">
        <f aca="false">IF(AND(C23="Legal Holiday",OR(C24="Special Holiday",C24="Legal Holiday on RD",C24="Special Holiday on RD",C24="Normal",C24="Rest Day",C24="Working - Legal Holiday on RD",C24="Working - Special Holiday on RD",C24="Working - Rest Day",C24="Leave")),BQ23,0)</f>
        <v>0</v>
      </c>
      <c r="CY23" s="93" t="n">
        <f aca="false">IF(AND(C23="Special Holiday",OR(C24="Legal Holiday",C24="Working - Legal Holiday on RD",C24="Working - Special Holiday on RD",C24="Normal",C24="Rest Day",C24="Legal Holiday on RD",C24="Special Holiday on RD",C24="Working - Rest Day",C24="Leave")),BQ23,0)</f>
        <v>0</v>
      </c>
      <c r="CZ23" s="93" t="n">
        <f aca="false">IF(AND(C23="Working - Legal Holiday on RD",OR(C24="Legal Holiday",C24="Special Holiday",C24="Working - Special Holiday on RD",C24="Normal",C24="Rest Day",C24="Special Holiday on RD",C24="Working - Rest Day",C24="Leave")),BQ23,0)</f>
        <v>0</v>
      </c>
      <c r="DA23" s="93" t="n">
        <f aca="false">IF(AND(C23="Working - Special Holiday on RD",OR(C24="Legal Holiday",C24="Special Holiday",C24="Working - Legal Holiday on RD",C24="Normal",C24="Rest Day",C24="Leave",C24="Legal Holiday on RD")),BQ23,0)</f>
        <v>0</v>
      </c>
      <c r="DB23" s="93" t="n">
        <f aca="false">IF(OR(C22="Special Holiday",C22="Working - Legal Holiday on RD",C22="Working - Special Holiday on RD",C22="Legal Holiday"),BQ22,0)</f>
        <v>0</v>
      </c>
      <c r="DC23" s="93" t="n">
        <f aca="false">IF(AND(C23="Working - Rest Day",OR(C22="Special Holiday",C22="Working - Legal Holiday on RD",C22="Working - Special Holiday on RD",C22="Normal",C22="Legal Holiday")),BQ22,0)</f>
        <v>0</v>
      </c>
      <c r="DD23" s="93" t="n">
        <f aca="false">IF(AND(OR(C23="Legal Holiday",C23="Legal Holiday on a Rest Day"),OR(C22="Special Holiday",C22="Working - Legal Holiday on RD",C22="Working - Special Holiday on RD",C22="Normal")),BQ22,0)</f>
        <v>0</v>
      </c>
      <c r="DE23" s="93" t="n">
        <f aca="false">IF(AND(OR(C23="Special Holiday",C23="Special Holiday on RD"),OR(C22="Legal Holiday",C22="Working - Legal Holiday on RD",C22="Working - Special Holiday on RD",C22="Normal")),BQ22,0)</f>
        <v>0</v>
      </c>
      <c r="DF23" s="93" t="n">
        <f aca="false">IF(AND(C23="Working - Legal Holiday on a RD",OR(C22="Legal Holiday",C22="Special Holiday",C22="Working - Special Holiday on RD",C22="Normal")),BQ22,0)</f>
        <v>0</v>
      </c>
      <c r="DG23" s="93" t="n">
        <f aca="false">IF(AND(C23="Working - Special Holiday on RD",OR(C22="Legal Holiday",C22="Special Holiday",C22="Working - Legal Holiday on RD",C22="Normal")),BQ22,0)</f>
        <v>0</v>
      </c>
      <c r="DH23" s="93" t="n">
        <f aca="false">IF(OR(C24="Special Holiday",C24="Working - Legal Holiday on RD",C24="Working - Special Holiday on RD",C24="Legal Holiday",C24="Legal Holiday on RD",C24="Special Holiday on RD",),BO23,0)</f>
        <v>0</v>
      </c>
      <c r="DI23" s="93" t="n">
        <f aca="false">IF(AND(C23="Working - Rest Day",OR(C24="Special Holiday",C24="Working - Legal Holiday on RD",C24="Working - Special Holiday on RD",C24="Legal Holiday",C24="Legal Holiday on RD",C24="Special Holiday on RD",C24="Leave")),BO23,0)</f>
        <v>0</v>
      </c>
      <c r="DJ23" s="93" t="n">
        <f aca="false">IF(AND(C23="Legal Holiday",OR(C24="Special Holiday",C24="Legal Holiday on RD",C24="Special Holiday on RD",C24="Normal",C24="Rest Day",C24="Working - Legal Holiday on RD",C24="Working - Special Holiday on RD",C24="Working - Rest Day",C24="Leave")),BO23,0)</f>
        <v>0</v>
      </c>
      <c r="DK23" s="93" t="n">
        <f aca="false">IF(AND(C23="Special Holiday",OR(C24="Legal Holiday",C24="Working - Legal Holiday on RD",C24="Working - Special Holiday on RD",C24="Normal",C24="Rest Day",C24="Legal Holiday on RD",C24="Special Holiday on RD",C24="Working - Rest Day",C24="Leave")),BO23,0)</f>
        <v>0</v>
      </c>
      <c r="DL23" s="93" t="n">
        <f aca="false">IF(AND(C23="Working - Legal Holiday on RD",OR(C24="Legal Holiday",C24="Special Holiday",C24="Working - Special Holiday on RD",C24="Normal",C24="Rest Day",C24="Special Holiday on RD",C24="Working - Rest Day",C24="Leave")),BO23,0)</f>
        <v>0</v>
      </c>
      <c r="DM23" s="93" t="n">
        <f aca="false">IF(AND(C23="Working - Special Holiday on RD",OR(C24="Legal Holiday",C24="Special Holiday",C24="Working - Legal Holiday on RD",C24="Normal",C24="Rest Day",C24="Leave",C24="Legal Holiday on RD")),BO23,0)</f>
        <v>0</v>
      </c>
      <c r="DN23" s="93" t="n">
        <f aca="false">IF(OR(C22="Special Holiday",C22="Working - Legal Holiday on RD",C22="Working - Special Holiday on RD",C22="Legal Holiday"),BO22,0)</f>
        <v>0</v>
      </c>
      <c r="DO23" s="93" t="n">
        <f aca="false">IF(AND(C23="Working - Rest Day",OR(C22="Special Holiday",C22="Working - Legal Holiday on RD",C22="Working - Special Holiday on RD",C22="Normal",C22="Legal Holiday")),BO22,0)</f>
        <v>0</v>
      </c>
      <c r="DP23" s="93" t="n">
        <f aca="false">IF(AND(OR(C23="Legal Holiday",C23="Legal Holiday on a Rest Day"),OR(C22="Special Holiday",C22="Working - Legal Holiday on RD",C22="Working - Special Holiday on RD",C22="Normal")),BO22,0)</f>
        <v>0</v>
      </c>
      <c r="DQ23" s="93" t="n">
        <f aca="false">IF(AND(OR(C23="Special Holiday",C23="Special Holiday on RD"),OR(C22="Legal Holiday",C22="Working - Legal Holiday on RD",C22="Working - Special Holiday on RD",C22="Normal")),BO22,0)</f>
        <v>0</v>
      </c>
      <c r="DR23" s="93" t="n">
        <f aca="false">IF(AND(C23="Working - Legal Holiday on a RD",OR(C22="Legal Holiday",C22="Special Holiday",C22="Working - Special Holiday on RD",C22="Normal")),BO22,0)</f>
        <v>0</v>
      </c>
      <c r="DS23" s="93" t="n">
        <f aca="false">IF(AND(C23="Working - Special Holiday on RD",OR(C22="Legal Holiday",C22="Special Holiday",C22="Working - Legal Holiday on RD",C22="Normal")),BO22,0)</f>
        <v>0</v>
      </c>
    </row>
    <row r="24" s="6" customFormat="true" ht="14.25" hidden="false" customHeight="true" outlineLevel="0" collapsed="false">
      <c r="A24" s="79" t="n">
        <v>46199</v>
      </c>
      <c r="B24" s="80" t="str">
        <f aca="false">TEXT(WEEKDAY(A24),"ddd")</f>
        <v>Fri</v>
      </c>
      <c r="C24" s="81" t="s">
        <v>19</v>
      </c>
      <c r="D24" s="82"/>
      <c r="E24" s="79"/>
      <c r="F24" s="82"/>
      <c r="G24" s="82"/>
      <c r="H24" s="82"/>
      <c r="I24" s="83" t="n">
        <f aca="false">IFERROR(IF(N24="Strict",IF(C24="Normal",IFERROR(IF((HOUR(IF(AQ24&lt;=AR24,BB24-AR24,BB24-AQ24))+MINUTE(IF(AQ24&lt;=AR24,BB24-AR24,BB24-AQ24))/60)&gt;=6,HOUR(IF(AQ24&lt;=AR24,BB24-AR24,BB24-AQ24))+MINUTE(IF(AQ24&lt;=AR24,BB24-AR24,BB24-AQ24))/60-1,HOUR(IF(AQ24&lt;=AR24,BB24-AR24,BB24-AQ24))+MINUTE(IF(AQ24&lt;=AR24,BB24-AR24,BB24-AQ24))/60),0),0),IF(N24="Flexi",IF(C24="Normal",IF((HOUR(BB24-AR24)+MINUTE(BB24-AR24)/60)&gt;=6,(HOUR(BB24-AR24)+MINUTE(BB24-AR24)/60)-1,(HOUR(BB24-AR24)+MINUTE(BB24-AR24)/60)),0),0)),0)</f>
        <v>0</v>
      </c>
      <c r="J24" s="82"/>
      <c r="K24" s="79"/>
      <c r="L24" s="84"/>
      <c r="M24" s="79"/>
      <c r="N24" s="79"/>
      <c r="O24" s="85"/>
      <c r="P24" s="79"/>
      <c r="Q24" s="86"/>
      <c r="R24" s="87" t="n">
        <f aca="false">IF(AND(C24="Normal",I24&gt;0),(8-S24),0)-IF(AND(C24="Normal",OR(C25="Special Holiday",C25="Working - Legal Holiday on RD",C25="Working - Special Holiday on RD",C25="Legal Holiday",C25="Legal Holiday on RD",C25="Special Holiday on RD")),BN24,0)+IF(AND(OR(C24="Normal",C24="Leave",C24="Rest Day"),OR(C23="Special Holiday",C23="Working - Legal Holiday on RD",C23="Working - Special Holiday on RD",C23="Legal Holiday")),BN23,0)</f>
        <v>0</v>
      </c>
      <c r="S24" s="87" t="n">
        <f aca="false">IF(C24="Normal",IF(P24="Remain Lates",(IFERROR(IF(N24="Strict",IF(C24="Normal",IF(AQ24&lt;=AR24,HOUR(AR24-AQ24)+(MINUTE(AR24-AQ24)/60),0)+IF(BB24&lt;=BC24,HOUR(BC24-BB24)+(MINUTE(BC24-BB24)/60),0),0),IF(I24=0,0,(8-I24))),0)-(O24/60)),IF((O24/60)&gt;=IFERROR(IF(N24="Strict",IF(C24="Normal",IF(AQ24&lt;=AR24,HOUR(AR24-AQ24)+(MINUTE(AR24-AQ24)/60),0)+IF(BB24&lt;=BC24,HOUR(BC24-BB24)+(MINUTE(BC24-BB24)/60),0),0),IF(I24=0,0,(8-I24))),0),0,IFERROR(IF(N24="Strict",IF(C24="Normal",IF(AQ24&lt;=AR24,HOUR(AR24-AQ24)+(MINUTE(AR24-AQ24)/60),0)+IF(BB24&lt;=BC24,HOUR(BC24-BB24)+(MINUTE(BC24-BB24)/60),0),0),IF(I24=0,0,(8-I24))),0))),0)</f>
        <v>0</v>
      </c>
      <c r="T24" s="88" t="n">
        <f aca="false">IF(AND(C24="Working - Rest Day",BW24&gt;0),(8-IF(BV24&gt;6,BV24-1,BV24)),0)-IF(AND(C24="Working - Rest Day",OR(C25="Special Holiday",C25="Working - Legal Holiday on RD",C25="Working - Special Holiday on RD",C25="Legal Holiday",C25="Legal Holiday on RD",C25="Special Holiday on RD")),BN24,0)+IF(AND(C24="Working - Rest Day",OR(C23="Special Holiday",C23="Working - Legal Holiday on RD",C23="Working - Special Holiday on RD",C23="Legal Holiday")),BN23,0)</f>
        <v>0</v>
      </c>
      <c r="U24" s="88" t="n">
        <f aca="false">IF(AND(C24="Legal Holiday",BW24&gt;0),(8-IF(BV24&gt;6,BV24-1,BV24)),0)-IF(AND(C24="Legal Holiday",OR(C25="Special Holiday",C25="Legal Holiday on RD",C25="Special Holiday on RD",C25="Normal",C25="Rest Day",C25="Working - Legal Holiday on RD",C25="Working - Special Holiday on RD",C25="Working - Rest Day",C25="Leave")),BN24,0)+IF(AND(OR(C24="Legal Holiday",C24="Legal Holiday on RD"),OR(C23="Special Holiday",C23="Working - Legal Holiday on RD",C23="Working - Special Holiday on RD",C23="Normal",C23="Working - Rest Day")),BN23,0)</f>
        <v>0</v>
      </c>
      <c r="V24" s="88" t="n">
        <f aca="false">IF(AND(C24="Special Holiday",BW24&gt;0),(8-IF(BV24&gt;6,BV24-1,BV24)),0)-IF(AND(C24="Special Holiday",OR(C25="Legal Holiday",C25="Working - Legal Holiday on RD",C25="Working - Special Holiday on RD",C25="Normal",C25="Rest Day",C25="Legal Holiday on RD",C25="Special Holiday on RD",C25="Working - Rest Day",C25="Leave")),BN24,0)+IF(AND(OR(C24="Special Holiday",C24="Special Holiday on RD"),OR(C23="Legal Holiday",C23="Working - Legal Holiday on RD",C23="Working - Special Holiday on RD",C23="Working - Rest Day",C23="Normal")),BN23,0)</f>
        <v>0</v>
      </c>
      <c r="W24" s="88" t="n">
        <f aca="false">IF(AND(C24="Working - Legal Holiday on RD",BW24&gt;0),(8-IF(BV24&gt;6,BV24-1,BV24)),0)-IF(AND(C24="Working - Legal Holiday on RD",OR(C25="Legal Holiday",C25="Special Holiday",C25="Working - Special Holiday on RD",C25="Normal",C25="Rest Day",C25="Special Holiday on RD",C25="Working - Rest Day",C25="Leave")),BN24,0)+IF(AND(C24="Working - Legal Holiday on RD",OR(C23="Legal Holiday",C23="Special Holiday",C23="Working - Special Holiday on RD",C23="Working - Rest Day",C23="Normal")),BN23,0)</f>
        <v>0</v>
      </c>
      <c r="X24" s="88" t="n">
        <f aca="false">IF(AND(C24="Working - Special Holiday on RD",BW24&gt;0),(8-IF(BV24&gt;6,BV24-1,BV24)),0)-IF(AND(C24="Working - Special Holiday on RD",OR(C25="Legal Holiday",C25="Special Holiday",C25="Working - Legal Holiday on RD",C25="Normal",C25="Rest Day",C25="Leave",C25="Working - Rest Day",C25="Legal Holiday on RD")),BN24,0)+IF(AND(C24="Working - Special Holiday on RD",OR(C23="Legal Holiday",C23="Special Holiday",C23="Working - Legal Holiday on RD",C23="Normal",C23="Working - Rest Day")),BN23,0)</f>
        <v>0</v>
      </c>
      <c r="Y24" s="88" t="n">
        <f aca="false">IFERROR(IF(C24="Normal",HOUR(AY24-AV24)+MINUTE(AY24-AV24)/60,0),0)-IFERROR(IF(C24="Normal",HOUR(BA24-AX24)+MINUTE(BA24-AX24)/60,0),0)-IF(AND(C24="Normal",OR(C25="Special Holiday",C25="Working - Legal Holiday on RD",C25="Working - Special Holiday on RD",C25="Legal Holiday",C25="Legal Holiday on RD",C25="Special Holiday on RD")),BP24,0)+IF(AND(OR(C24="Normal",C24="Rest Day",C24="Leave"),OR(C23="Special Holiday",C23="Working - Legal Holiday on RD",C23="Working - Special Holiday on RD",C23="Legal Holiday")),BP23,0)</f>
        <v>0</v>
      </c>
      <c r="Z24" s="88" t="n">
        <f aca="false">IFERROR(IF(C24="Working - Rest Day",HOUR(AY24-AV24)+MINUTE(AY24-AV24)/60,0),0)-IFERROR(IF(C24="Working - Rest Day",HOUR(BA24-AX24)+MINUTE(BA24-AX24)/60,0),0)-IF(AND(C24="Working - Rest Day",OR(C25="Special Holiday",C25="Working - Legal Holiday on RD",C25="Working - Special Holiday on RD",C25="Legal Holiday",C25="Legal Holiday on RD",C25="Special Holiday on RD")),BP24,0)+IF(AND(C24="Working - Rest Day",OR(C23="Special Holiday",C23="Working - Legal Holiday on RD",C23="Working - Special Holiday on RD",C23="Legal Holiday")),BP23,0)</f>
        <v>0</v>
      </c>
      <c r="AA24" s="88" t="n">
        <f aca="false">IFERROR(IF(C24="Legal Holiday",HOUR(AY24-AV24)+MINUTE(AY24-AV24)/60,0),0)-IFERROR(IF(C24="Legal Holiday",HOUR(BA24-AX24)+MINUTE(BA24-AX24)/60,0),0)-IF(AND(C24="Legal Holiday",OR(C25="Special Holiday",C25="Legal Holiday on RD",C25="Special Holiday on RD",C25="Normal",C25="Rest Day",C25="Working - Legal Holiday on RD",C25="Working - Special Holiday on RD",C25="Working - Rest Day",C25="Leave")),BP24,0)+IF(AND(OR(C24="Legal Holiday",C24="Legal Holiday on RD"),OR(C23="Special Holiday",C23="Working - Legal Holiday on RD",C23="Working - Special Holiday on RD",C23="Normal",C23="Working - Rest Day")),BP23,0)</f>
        <v>0</v>
      </c>
      <c r="AB24" s="88" t="n">
        <f aca="false">IFERROR(IF(C24="Special Holiday",HOUR(AY24-AV24)+MINUTE(AY24-AV24)/60,0),0)-IFERROR(IF(C24="Special Holiday",HOUR(BA24-AX24)+MINUTE(BA24-AX24)/60,0),0)-IF(AND(C24="Special Holiday",OR(C25="Legal Holiday",C25="Working - Legal Holiday on RD",C25="Working - Special Holiday on RD",C25="Normal",C25="Rest Day",C25="Legal Holiday on RD",C25="Special Holiday on RD",C25="Working - Rest Day",C25="Leave")),BP24,0)+IF(AND(OR(C24="Special Holiday",C24="Special Holiday on RD"),OR(C23="Legal Holiday",C23="Working - Legal Holiday on RD",C23="Working - Special Holiday on RD",C23="Normal",C23="Working - Rest Day")),BP23,0)</f>
        <v>0</v>
      </c>
      <c r="AC24" s="88" t="n">
        <f aca="false">IFERROR(IF(C24="Working - Legal Holiday on RD",HOUR(AY24-AV24)+MINUTE(AY24-AV24)/60,0),0)-IFERROR(IF(C24="Working - Legal Holiday on RD",HOUR(BA24-AX24)+MINUTE(BA24-AX24)/60,0),0)-IF(AND(C24="Working - Legal Holiday on RD",OR(C25="Legal Holiday",C25="Special Holiday",C25="Working - Special Holiday on RD",C25="Normal",C25="Rest Day",C25="Special Holiday on RD",C25="Working - Rest Day",C25="Leave")),BP24,0)+IF(AND(C24="Working - Legal Holiday on RD",OR(C23="Legal Holiday",C23="Special Holiday",C23="Working - Special Holiday on RD",C23="Normal",C23="Working - Rest Day")),BP23,0)</f>
        <v>0</v>
      </c>
      <c r="AD24" s="88" t="n">
        <f aca="false">IFERROR(IF(C24="Working - Special Holiday on RD",HOUR(AY24-AV24)+MINUTE(AY24-AV24)/60,0),0)-IFERROR(IF(C24="Working - Special Holiday on RD",HOUR(BA24-AX24)+MINUTE(BA24-AX24)/60,0),0)-IF(AND(C24="Working - Special Holiday on RD",OR(C25="Legal Holiday",C25="Special Holiday",C25="Working - Legal Holiday on RD",C25="Normal",C25="Rest Day",C25="Working - Rest Day",C25="Leave",C25="Legal Holiday on RD")),BP24,0)+IF(AND(C24="Working - Special Holiday on RD",OR(C23="Legal Holiday",C23="Special Holiday",C23="Working - Legal Holiday on RD",C23="Normal",C23="Working - Rest Day")),BP23,0)</f>
        <v>0</v>
      </c>
      <c r="AE24" s="88" t="n">
        <f aca="false">IFERROR(IF(C24="Normal",HOUR(BA24-AX24)+MINUTE(BA24-AX24)/60,0),0)-IF(AND(C24="Normal",OR(C25="Special Holiday",C25="Working - Legal Holiday on RD",C25="Working - Special Holiday on RD",C25="Legal Holiday",C25="Legal Holiday on RD",C25="Special Holiday on RD")),BQ24,0)+IF(AND(OR(C24="Normal",C24="Rest Day",C24="Leave"),OR(C23="Special Holiday",C23="Working - Legal Holiday on RD",C23="Working - Special Holiday on RD",C23="Legal Holiday")),BQ23,0)</f>
        <v>0</v>
      </c>
      <c r="AF24" s="88" t="n">
        <f aca="false">IFERROR(IF(C24="Working - Rest Day",HOUR(BA24-AX24)+MINUTE(BA24-AX24)/60,0),0)-IF(AND(C24="Working - Rest Day",OR(C25="Special Holiday",C25="Working - Legal Holiday on RD",C25="Working - Special Holiday on RD",C25="Legal Holiday",C25="Legal Holiday on RD",C25="Special Holiday on RD")),BQ24,0)+IF(AND(C24="Working - Rest Day",OR(C23="Special Holiday",C23="Working - Legal Holiday on RD",C23="Working - Special Holiday on RD",C23="Legal Holiday")),BQ23,0)</f>
        <v>0</v>
      </c>
      <c r="AG24" s="88" t="n">
        <f aca="false">IFERROR(IF(C24="Legal Holiday",HOUR(BA24-AX24)+MINUTE(BA24-AX24)/60,0),0)-IF(AND(C24="Legal Holiday",OR(C25="Special Holiday",C25="Legal Holiday on RD",C25="Special Holiday on RD",C25="Normal",C25="Rest Day",C25="Working - Legal Holiday on RD",C25="Working - Special Holiday on RD",C25="Working - Rest Day",C25="Leave")),BQ24,0)+IF(AND(OR(C24="Legal Holiday",C24="Legal Holiday on RD"),OR(C23="Special Holiday",C23="Working - Legal Holiday on RD",C23="Working - Special Holiday on RD",C23="Normal",C23="Working - Rest Day")),BQ23,0)</f>
        <v>0</v>
      </c>
      <c r="AH24" s="88" t="n">
        <f aca="false">IFERROR(IF(C24="Special Holiday",HOUR(BA24-AX24)+MINUTE(BA24-AX24)/60,0),0)-IF(AND(C24="Special Holiday",OR(C25="Legal Holiday",C25="Working - Legal Holiday on RD",C25="Working - Special Holiday on RD",C25="Normal",C25="Rest Day",C25="Legal Holiday on RD",C25="Special Holiday on RD",C25="Working - Rest Day",C25="Leave")),BQ24,0)+IF(AND(OR(C24="Special Holiday",C24="Special Holiday on RD"),OR(C23="Legal Holiday",C23="Working - Legal Holiday on RD",C23="Working - Special Holiday on RD",C23="Normal",C23="Working - Rest Day")),BQ23,0)</f>
        <v>0</v>
      </c>
      <c r="AI24" s="88" t="n">
        <f aca="false">IFERROR(IF(C24="Working - Legal Holiday on RD",HOUR(BA24-AX24)+MINUTE(BA24-AX24)/60,0),0)-IF(AND(C24="Working - Legal Holiday on RD",OR(C25="Legal Holiday",C25="Special Holiday",C25="Working - Special Holiday on RD",C25="Normal",C25="Rest Day",C25="Special Holiday on RD",C25="Working - Rest Day",C25="Leave")),BQ24,0)+IF(AND(C24="Working - Legal Holiday on RD",OR(C23="Legal Holiday",C23="Special Holiday",C23="Working - Special Holiday on RD",C23="Normal",C23="Working - Rest Day")),BQ23,0)</f>
        <v>0</v>
      </c>
      <c r="AJ24" s="88" t="n">
        <f aca="false">IFERROR(IF(C24="Working - Special Holiday on RD",HOUR(BA24-AX24)+MINUTE(BA24-AX24)/60,0),0)-IF(AND(C24="Working - Special Holiday on RD",OR(C25="Legal Holiday",C25="Special Holiday",C25="Working - Legal Holiday on RD",C25="Normal",C25="Rest Day",C25="Working - Rest Day",C25="Leave",C25="Legal Holiday on RD")),BQ24,0)+IF(AND(C24="Working - Special Holiday on RD",OR(C23="Legal Holiday",C23="Special Holiday",C23="Working - Legal Holiday on RD",C23="Normal",C23="Working - Rest Day")),BQ23,0)</f>
        <v>0</v>
      </c>
      <c r="AK24" s="88" t="n">
        <f aca="false">IFERROR(IF(C24="Normal",HOUR(BF24-AU24)+(MINUTE(BF24-AU24)/60),0),0)-IF(AND(C24="Normal",OR(C25="Special Holiday",C25="Working - Legal Holiday on RD",C25="Working - Special Holiday on RD",C25="Legal Holiday",C25="Legal Holiday on RD",C25="Special Holiday on RD")),BO24,0)+IF(AND(OR(C24="Normal",C24="Rest Day",C24="Leave"),OR(C23="Special Holiday",C23="Working - Legal Holiday on RD",C23="Working - Special Holiday on RD",C23="Legal Holiday")),BO23,0)</f>
        <v>0</v>
      </c>
      <c r="AL24" s="88" t="n">
        <f aca="false">IFERROR(IF(C24="Working - Rest Day",HOUR(BF24-AU24)+(MINUTE(BF24-AU24)/60),0),0)-IF(AND(C24="Working - Rest Day",OR(C25="Special Holiday",C25="Working - Legal Holiday on RD",C25="Working - Special Holiday on RD",C25="Legal Holiday",C25="Legal Holiday on RD",C25="Special Holiday on RD")),BO24,0)+IF(AND(C24="Working - Rest Day",OR(C23="Special Holiday",C23="Working - Legal Holiday on RD",C23="Working - Special Holiday on RD",C23="Legal Holiday")),BO23,0)</f>
        <v>0</v>
      </c>
      <c r="AM24" s="88" t="n">
        <f aca="false">IFERROR(IF(C24="Legal Holiday",HOUR(BF24-AU24)+(MINUTE(BF24-AU24)/60),0),0)-IF(AND(C24="Legal Holiday",OR(C25="Special Holiday",C25="Legal Holiday on RD",C25="Special Holiday on RD",C25="Normal",C25="Rest Day",C25="Working - Legal Holiday on RD",C25="Working - Special Holiday on RD",C25="Working - Rest Day",C25="Leave")),BO24,0)+IF(AND(OR(C24="Legal Holiday",C24="Legal Holiday on RD"),OR(C23="Special Holiday",C23="Working - Legal Holiday on RD",C23="Working - Special Holiday on RD",C23="Normal",C23="Working - Rest Day")),BO23,0)</f>
        <v>0</v>
      </c>
      <c r="AN24" s="88" t="n">
        <f aca="false">IFERROR(IF(C24="Special Holiday",HOUR(BF24-AU24)+(MINUTE(BF24-AU24)/60),0),0)-IF(AND(C24="Special Holiday",OR(C25="Legal Holiday",C25="Working - Legal Holiday on RD",C25="Working - Special Holiday on RD",C25="Normal",C25="Rest Day",C25="Legal Holiday on RD",C25="Special Holiday on RD",C25="Working - Rest Day",C25="Leave")),BO24,0)+IF(AND(OR(C24="Special Holiday",C24="Special Holiday on RD"),OR(C23="Legal Holiday",C23="Working - Legal Holiday on RD",C23="Working - Special Holiday on RD",C23="Normal",C23="Working - Rest Day")),BO23,0)</f>
        <v>0</v>
      </c>
      <c r="AO24" s="88" t="n">
        <f aca="false">IFERROR(IF(C24="Working - Legal Holiday on RD",HOUR(BF24-AU24)+(MINUTE(BF24-AU24)/60),0),0)-IF(AND(C24="Working - Legal Holiday on RD",OR(C25="Legal Holiday",C25="Special Holiday",C25="Working - Special Holiday on RD",C25="Normal",C25="Rest Day",C25="Special Holiday on RD",C25="Working - Rest Day",C25="Leave")),BO24,0)+IF(AND(C24="Working - Legal Holiday on RD",OR(C23="Legal Holiday",C23="Special Holiday",C23="Working - Special Holiday on RD",C23="Normal",C23="Working - Rest Day")),BO23,0)</f>
        <v>0</v>
      </c>
      <c r="AP24" s="88" t="n">
        <f aca="false">IFERROR(IF(C24="Working - Special Holiday on RD",HOUR(BF24-AU24)+(MINUTE(BF24-AU24)/60),0),0)-IF(AND(C24="Working - Special Holiday on RD",OR(C25="Legal Holiday",C25="Special Holiday",C25="Working - Legal Holiday on RD",C25="Normal",C25="Rest Day",C25="Working - Rest Day",C25="Leave",C25="Legal Holiday on RD")),BO24,0)+IF(AND(C24="Working - Special Holiday on RD",OR(C23="Legal Holiday",C23="Special Holiday",C23="Working - Legal Holiday on RD",C23="Normal",C23="Working - Rest Day")),BO23,0)</f>
        <v>0</v>
      </c>
      <c r="AQ24" s="89" t="str">
        <f aca="false">TEXT(D24,"HH:MM")&amp;" "&amp;TEXT(A24,"DD-mmm-YY")</f>
        <v>00:00 26-Jun-26</v>
      </c>
      <c r="AR24" s="89" t="str">
        <f aca="false">TEXT(G24,"HH:MM")&amp;" "&amp;TEXT(A24,"DD-mmm-YY")</f>
        <v>00:00 26-Jun-26</v>
      </c>
      <c r="AS24" s="60" t="str">
        <f aca="false">IF($AR$1&lt;D24,AR24,IF(AT24&lt;=AR24,AR24,AT24))</f>
        <v>22:00 25-Jun-26</v>
      </c>
      <c r="AT24" s="60" t="str">
        <f aca="false">IF(AND(D24&gt;=0,D24&lt;0.25),TEXT($AR$1,"HH:MM")&amp;" "&amp;TEXT((A24-1),"dd-mmm-yy"),TEXT($AR$1,"HH:MM")&amp;" "&amp;TEXT(A24,"dd-mmm-yy"))</f>
        <v>22:00 25-Jun-26</v>
      </c>
      <c r="AU24" s="40" t="e">
        <f aca="false" t="array" ref="AU24:AU24">MAX(AQ24:AS24+0)</f>
        <v>#VALUE!</v>
      </c>
      <c r="AV24" s="60" t="str">
        <f aca="false">TEXT(J24,"HH:MM")&amp;" "&amp;TEXT(K24,"DD-mmm-YY")</f>
        <v>00:00 00-Jan-00</v>
      </c>
      <c r="AW24" s="60" t="str">
        <f aca="false">IF(K24&lt;A24,TEXT($AR$1,"HH:MM")&amp;" "&amp;TEXT((A24-1),"dd-mmm-yy"),IF(AND(D24&gt;0,D24&lt;0.25,L24&lt;0.916666666666667,A24&lt;M24),TEXT($AR$1,"HH:MM")&amp;" "&amp;TEXT((A24-1),"dd-mmm-yy"),TEXT($AR$1,"HH:MM")&amp;" "&amp;TEXT(A24,"dd-mmm-yy")))</f>
        <v>22:00 25-Jun-26</v>
      </c>
      <c r="AX24" s="40" t="e">
        <f aca="false" t="array" ref="AX24:AX24">MAX(AV24:AW24+0)</f>
        <v>#VALUE!</v>
      </c>
      <c r="AY24" s="60" t="str">
        <f aca="false">TEXT(L24,"HH:MM")&amp;" "&amp;TEXT(M24,"DD-mmm-YY")</f>
        <v>00:00 00-Jan-00</v>
      </c>
      <c r="AZ24" s="60" t="str">
        <f aca="false">IF(AND(D24&gt;=0,D24&lt;0.25,L24&lt;0.916666666666667,A24&gt;M24),TEXT($AR$2,"HH:MM")&amp;" "&amp;TEXT(A24,"DD-mmm-YY"),TEXT($AR$2,"HH:MM")&amp;" "&amp;TEXT((A24+1),"DD-mmm-YY"))</f>
        <v>06:00 26-Jun-26</v>
      </c>
      <c r="BA24" s="40" t="e">
        <f aca="false" t="array" ref="BA24:BA24">MIN(AY24:AZ24+0)</f>
        <v>#VALUE!</v>
      </c>
      <c r="BB24" s="60" t="str">
        <f aca="false">IF(G24&gt;H24,TEXT(H24,"HH:MM")&amp;" "&amp;TEXT(E24,"DD-mmm-YY"),IF(H24&gt;1,TEXT(H24,"HH:MM")&amp;" "&amp;TEXT(E24,"DD-mmm-YY"),TEXT(H24,"HH:MM")&amp;" "&amp;TEXT(A24,"DD-mmm-YY")))</f>
        <v>00:00 26-Jun-26</v>
      </c>
      <c r="BC24" s="60" t="str">
        <f aca="false">IF(N24="Flexi",TEXT(G24+$BC$1,"HH:MM")&amp;" "&amp;TEXT(E24,"DD-mmm-YY"),TEXT(F24,"HH:MM")&amp;" "&amp;TEXT(E24,"DD-mmm-YY"))</f>
        <v>00:00 30-Dec-99</v>
      </c>
      <c r="BD24" s="90" t="e">
        <f aca="false" t="array" ref="BD24:BD24">MIN(BB24:BC24+0)</f>
        <v>#VALUE!</v>
      </c>
      <c r="BE24" s="60" t="str">
        <f aca="false">IF(D24&gt;0.25,TEXT($AR$2,"HH:MM")&amp;" "&amp;TEXT(IF(BG24&lt;H24,A24+1,E24),"DD-mmm-YY"),IF(D24&gt;=0,TEXT($AR$2,"HH:MM")&amp;" "&amp;TEXT(IF(BG24&lt;H24,A24+1,E24)-1,"DD-mmm-YY"),TEXT($AR$2,"HH:MM")&amp;" "&amp;TEXT(IF(BG24&lt;H24,A24+1,E24),"DD-mmm-YY")))</f>
        <v>06:00 29-Dec-99</v>
      </c>
      <c r="BF24" s="40" t="e">
        <f aca="false" t="array" ref="BF24:BF24">IF(N24="Flexi",IF(AND(BB24&gt;BC24,BB24&lt;BE24),BB24,MIN(BB24:BE24+0)),MIN(BB24:BE24+0))</f>
        <v>#VALUE!</v>
      </c>
      <c r="BG24" s="7" t="n">
        <v>0</v>
      </c>
      <c r="BH24" s="9" t="str">
        <f aca="false">TEXT(BG24,"HH:MM")&amp;" "&amp;TEXT(A24+1,"DD-mmm-YY")</f>
        <v>00:00 27-Jun-26</v>
      </c>
      <c r="BI24" s="9" t="str">
        <f aca="false">AV24</f>
        <v>00:00 00-Jan-00</v>
      </c>
      <c r="BJ24" s="91" t="e">
        <f aca="false" t="array" ref="BJ24:BJ24">MAX(BH24:BI24+0)</f>
        <v>#VALUE!</v>
      </c>
      <c r="BK24" s="9" t="str">
        <f aca="false">TEXT($AR$2,"HH:MM")&amp;" "&amp;TEXT(A24+1,"DD-mmm-YY")</f>
        <v>06:00 27-Jun-26</v>
      </c>
      <c r="BL24" s="9" t="str">
        <f aca="false">AY24</f>
        <v>00:00 00-Jan-00</v>
      </c>
      <c r="BM24" s="91" t="e">
        <f aca="false" t="array" ref="BM24:BM24">MIN(BK24:BL24+0)</f>
        <v>#VALUE!</v>
      </c>
      <c r="BN24" s="13" t="n">
        <f aca="false">IF(IFERROR(IF(E24&gt;A24,IF(BD24&gt;=BD24,HOUR(BD24-BH24)+MINUTE(BD24-BH24)/60,0),0),0)&gt;5,(IFERROR(IF(E24&gt;A24,IF(BD24&gt;=BD24,HOUR(BD24-BH24)+MINUTE(BD24-BH24)/60,0),0),0)-1),IFERROR(IF(E24&gt;A24,IF(BD24&gt;=BD24,HOUR(BD24-BH24)+MINUTE(BD24-BH24)/60,0),0),0))</f>
        <v>0</v>
      </c>
      <c r="BO24" s="13" t="n">
        <f aca="false">IFERROR(IF(E24&gt;A24,HOUR(BF24-BH24)+MINUTE(BF24-BH24)/60,0),0)</f>
        <v>0</v>
      </c>
      <c r="BP24" s="92" t="n">
        <f aca="false">IF(AND(A24&lt;M24,L24&gt;0.25,L24&lt;=0.916666666666667,J24&gt;=0.25),IFERROR(HOUR(AY24-AV24)+MINUTE(AY24-AV24)/60,0),IFERROR(HOUR(AY24-BK24)+MINUTE(AY24-BK24)/60,0))</f>
        <v>0</v>
      </c>
      <c r="BQ24" s="13" t="n">
        <f aca="false">IFERROR(HOUR(BM24-BJ24)+MINUTE(BM24-BJ24)/60,0)</f>
        <v>0</v>
      </c>
      <c r="BR24" s="13" t="n">
        <f aca="false">IF(AND(C24=C24,BW24&gt;0),(8-BV24),0)-BN24</f>
        <v>0</v>
      </c>
      <c r="BS24" s="13" t="n">
        <f aca="false">IFERROR(IF(C24=C24,HOUR(BF24-AU24)+(MINUTE(BF24-AU24)/60),0),0)-BO24</f>
        <v>0</v>
      </c>
      <c r="BT24" s="92" t="n">
        <f aca="false">IFERROR(IF(C24=C24,HOUR(AY24-AV24)+MINUTE(AY24-AV24)/60,0),0)-IFERROR(IF(C24=C24,HOUR(BA24-AX24)+MINUTE(BA24-AX24)/60,0),0)-BP24</f>
        <v>0</v>
      </c>
      <c r="BU24" s="13" t="n">
        <f aca="false">IFERROR(IF(C24=C24,HOUR(BA24-AX24)+MINUTE(BA24-AX24)/60,0),0)-BQ24</f>
        <v>0</v>
      </c>
      <c r="BV24" s="13" t="n">
        <f aca="false">IF(C24=C24,IF(P24="Remain Lates",(IFERROR(IF(N24="Strict",IF(C24=C24,IF(AQ24&lt;=AR24,HOUR(AR24-AQ24)+(MINUTE(AR24-AQ24)/60),0)+IF(BB24&lt;=BC24,HOUR(BC24-BB24)+(MINUTE(BC24-BB24)/60),0),0),IF(BW24=0,0,(8-BW24))),0)-(O24/60)),IF((O24/60)&gt;=IFERROR(IF(N24="Strict",IF(C24=C24,IF(AQ24&lt;=AR24,HOUR(AR24-AQ24)+(MINUTE(AR24-AQ24)/60),0)+IF(BB24&lt;=BC24,HOUR(BC24-BB24)+(MINUTE(BC24-BB24)/60),0),0),IF(BW24=0,0,(8-BW24))),0),0,IFERROR(IF(N24="Strict",IF(C24=C24,IF(AQ24&lt;=AR24,HOUR(AR24-AQ24)+(MINUTE(AR24-AQ24)/60),0)+IF(BB24&lt;=BC24,HOUR(BC24-BB24)+(MINUTE(BC24-BB24)/60),0),0),IF(BW24=0,0,(8-BW24))),0))),0)</f>
        <v>0</v>
      </c>
      <c r="BW24" s="13" t="n">
        <f aca="false">IFERROR(IF(N24="Strict",IF(C24=C24,IFERROR(IF((HOUR(IF(AQ24&lt;=AR24,BB24-AR24,BB24-AQ24))+MINUTE(IF(AQ24&lt;=AR24,BB24-AR24,BB24-AQ24))/60)&gt;=6,HOUR(IF(AQ24&lt;=AR24,BB24-AR24,BB24-AQ24))+MINUTE(IF(AQ24&lt;=AR24,BB24-AR24,BB24-AQ24))/60-1,HOUR(IF(AQ24&lt;=AR24,BB24-AR24,BB24-AQ24))+MINUTE(IF(AQ24&lt;=AR24,BB24-AR24,BB24-AQ24))/60),0),0),IF(N24="Flexi",IF(C24=C24,IF((HOUR(BB24-AR24)+MINUTE(BB24-AR24)/60)&gt;=6,(HOUR(BB24-AR24)+MINUTE(BB24-AR24)/60)-1,(HOUR(BB24-AR24)+MINUTE(BB24-AR24)/60)),0),0)),0)</f>
        <v>0</v>
      </c>
      <c r="BX24" s="93" t="n">
        <f aca="false">IF(OR(C25="Special Holiday",C25="Working - Legal Holiday on RD",C25="Working - Special Holiday on RD",C25="Legal Holiday",C25="Legal Holiday on RD",C25="Special Holiday on RD",),BN24,0)</f>
        <v>0</v>
      </c>
      <c r="BY24" s="93" t="n">
        <f aca="false">IF(AND(C24="Working - Rest Day",OR(C25="Special Holiday",C25="Working - Legal Holiday on RD",C25="Working - Special Holiday on RD",C25="Legal Holiday",C25="Legal Holiday on RD",C25="Special Holiday on RD",C25="Leave")),BN24,0)</f>
        <v>0</v>
      </c>
      <c r="BZ24" s="93" t="n">
        <f aca="false">IF(AND(C24="Legal Holiday",OR(C25="Special Holiday",C25="Legal Holiday on RD",C25="Special Holiday on RD",C25="Normal",C25="Rest Day",C25="Working - Legal Holiday on RD",C25="Working - Special Holiday on RD",C25="Working - Rest Day",C25="Leave")),BN24,0)</f>
        <v>0</v>
      </c>
      <c r="CA24" s="93" t="n">
        <f aca="false">IF(AND(C24="Special Holiday",OR(C25="Legal Holiday",C25="Working - Legal Holiday on RD",C25="Working - Special Holiday on RD",C25="Normal",C25="Rest Day",C25="Legal Holiday on RD",C25="Special Holiday on RD",C25="Working - Rest Day",C25="Leave")),BN24,0)</f>
        <v>0</v>
      </c>
      <c r="CB24" s="93" t="n">
        <f aca="false">IF(AND(C24="Working - Legal Holiday on RD",OR(C25="Legal Holiday",C25="Special Holiday",C25="Working - Special Holiday on RD",C25="Normal",C25="Rest Day",C25="Special Holiday on RD",C25="Working - Rest Day",C25="Leave")),BN24,0)</f>
        <v>0</v>
      </c>
      <c r="CC24" s="93" t="n">
        <f aca="false">IF(AND(C24="Working - Special Holiday on RD",OR(C25="Legal Holiday",C25="Special Holiday",C25="Working - Legal Holiday on RD",C25="Normal",C25="Rest Day",C25="Leave",C25="Legal Holiday on RD")),BN24,0)</f>
        <v>0</v>
      </c>
      <c r="CD24" s="93" t="n">
        <f aca="false">IF(OR(C23="Special Holiday",C23="Working - Legal Holiday on RD",C23="Working - Special Holiday on RD",C23="Legal Holiday"),BN23,0)</f>
        <v>0</v>
      </c>
      <c r="CE24" s="93" t="n">
        <f aca="false">IF(AND(C24="Working - Rest Day",OR(C23="Special Holiday",C23="Working - Legal Holiday on RD",C23="Working - Special Holiday on RD",C23="Normal",C23="Legal Holiday")),BN23,0)</f>
        <v>0</v>
      </c>
      <c r="CF24" s="93" t="n">
        <f aca="false">IF(AND(OR(C24="Legal Holiday",C24="Legal Holiday on a Rest Day"),OR(C23="Special Holiday",C23="Working - Legal Holiday on RD",C23="Working - Special Holiday on RD",C23="Normal")),BN23,0)</f>
        <v>0</v>
      </c>
      <c r="CG24" s="93" t="n">
        <f aca="false">IF(AND(OR(C24="Special Holiday",C24="Special Holiday on RD"),OR(C23="Legal Holiday",C23="Working - Legal Holiday on RD",C23="Working - Special Holiday on RD",C23="Normal")),BN23,0)</f>
        <v>0</v>
      </c>
      <c r="CH24" s="93" t="n">
        <f aca="false">IF(AND(C24="Working - Legal Holiday on a RD",OR(C23="Legal Holiday",C23="Special Holiday",C23="Working - Special Holiday on RD",C23="Normal")),BN23,0)</f>
        <v>0</v>
      </c>
      <c r="CI24" s="93" t="n">
        <f aca="false">IF(AND(C24="Working - Special Holiday on RD",OR(C23="Legal Holiday",C23="Special Holiday",C23="Working - Legal Holiday on RD",C23="Normal")),BN23,0)</f>
        <v>0</v>
      </c>
      <c r="CJ24" s="93" t="n">
        <f aca="false">IF(OR(C25="Special Holiday",C25="Working - Legal Holiday on RD",C25="Working - Special Holiday on RD",C25="Legal Holiday",C25="Legal Holiday on RD",C25="Special Holiday on RD",),BP24,0)</f>
        <v>0</v>
      </c>
      <c r="CK24" s="93" t="n">
        <f aca="false">IF(AND(C24="Working - Rest Day",OR(C25="Special Holiday",C25="Working - Legal Holiday on RD",C25="Working - Special Holiday on RD",C25="Legal Holiday",C25="Legal Holiday on RD",C25="Special Holiday on RD",C25="Leave")),BP24,0)</f>
        <v>0</v>
      </c>
      <c r="CL24" s="93" t="n">
        <f aca="false">IF(AND(C24="Legal Holiday",OR(C25="Special Holiday",C25="Legal Holiday on RD",C25="Special Holiday on RD",C25="Normal",C25="Rest Day",C25="Working - Legal Holiday on RD",C25="Working - Special Holiday on RD",C25="Working - Rest Day",C25="Leave")),BP24,0)</f>
        <v>0</v>
      </c>
      <c r="CM24" s="93" t="n">
        <f aca="false">IF(AND(C24="Special Holiday",OR(C25="Legal Holiday",C25="Working - Legal Holiday on RD",C25="Working - Special Holiday on RD",C25="Normal",C25="Rest Day",C25="Legal Holiday on RD",C25="Special Holiday on RD",C25="Working - Rest Day",C25="Leave")),BP24,0)</f>
        <v>0</v>
      </c>
      <c r="CN24" s="93" t="n">
        <f aca="false">IF(AND(C24="Working - Legal Holiday on RD",OR(C25="Legal Holiday",C25="Special Holiday",C25="Working - Special Holiday on RD",C25="Normal",C25="Rest Day",C25="Special Holiday on RD",C25="Working - Rest Day",C25="Leave")),BP24,0)</f>
        <v>0</v>
      </c>
      <c r="CO24" s="93" t="n">
        <f aca="false">IF(AND(C24="Working - Special Holiday on RD",OR(C25="Legal Holiday",C25="Special Holiday",C25="Working - Legal Holiday on RD",C25="Normal",C25="Rest Day",C25="Leave",C25="Legal Holiday on RD")),BP24,0)</f>
        <v>0</v>
      </c>
      <c r="CP24" s="93" t="n">
        <f aca="false">IF(OR(C23="Special Holiday",C23="Working - Legal Holiday on RD",C23="Working - Special Holiday on RD",C23="Legal Holiday"),BP23,0)</f>
        <v>0</v>
      </c>
      <c r="CQ24" s="93" t="n">
        <f aca="false">IF(AND(C24="Working - Rest Day",OR(C23="Special Holiday",C23="Working - Legal Holiday on RD",C23="Working - Special Holiday on RD",C23="Normal",C23="Legal Holiday")),BP23,0)</f>
        <v>0</v>
      </c>
      <c r="CR24" s="93" t="n">
        <f aca="false">IF(AND(OR(C24="Legal Holiday",C24="Legal Holiday on a Rest Day"),OR(C23="Special Holiday",C23="Working - Legal Holiday on RD",C23="Working - Special Holiday on RD",C23="Normal")),BP23,0)</f>
        <v>0</v>
      </c>
      <c r="CS24" s="93" t="n">
        <f aca="false">IF(AND(OR(C24="Special Holiday",C24="Special Holiday on RD"),OR(C23="Legal Holiday",C23="Working - Legal Holiday on RD",C23="Working - Special Holiday on RD",C23="Normal")),BP23,0)</f>
        <v>0</v>
      </c>
      <c r="CT24" s="93" t="n">
        <f aca="false">IF(AND(C24="Working - Legal Holiday on a RD",OR(C23="Legal Holiday",C23="Special Holiday",C23="Working - Special Holiday on RD",C23="Normal")),BP23,0)</f>
        <v>0</v>
      </c>
      <c r="CU24" s="93" t="n">
        <f aca="false">IF(AND(C24="Working - Special Holiday on RD",OR(C23="Legal Holiday",C23="Special Holiday",C23="Working - Legal Holiday on RD",C23="Normal")),BP23,0)</f>
        <v>0</v>
      </c>
      <c r="CV24" s="93" t="n">
        <f aca="false">IF(OR(C25="Special Holiday",C25="Working - Legal Holiday on RD",C25="Working - Special Holiday on RD",C25="Legal Holiday",C25="Legal Holiday on RD",C25="Special Holiday on RD",),BQ24,0)</f>
        <v>0</v>
      </c>
      <c r="CW24" s="93" t="n">
        <f aca="false">IF(AND(C24="Working - Rest Day",OR(C25="Special Holiday",C25="Working - Legal Holiday on RD",C25="Working - Special Holiday on RD",C25="Legal Holiday",C25="Legal Holiday on RD",C25="Special Holiday on RD",C25="Leave")),BQ24,0)</f>
        <v>0</v>
      </c>
      <c r="CX24" s="93" t="n">
        <f aca="false">IF(AND(C24="Legal Holiday",OR(C25="Special Holiday",C25="Legal Holiday on RD",C25="Special Holiday on RD",C25="Normal",C25="Rest Day",C25="Working - Legal Holiday on RD",C25="Working - Special Holiday on RD",C25="Working - Rest Day",C25="Leave")),BQ24,0)</f>
        <v>0</v>
      </c>
      <c r="CY24" s="93" t="n">
        <f aca="false">IF(AND(C24="Special Holiday",OR(C25="Legal Holiday",C25="Working - Legal Holiday on RD",C25="Working - Special Holiday on RD",C25="Normal",C25="Rest Day",C25="Legal Holiday on RD",C25="Special Holiday on RD",C25="Working - Rest Day",C25="Leave")),BQ24,0)</f>
        <v>0</v>
      </c>
      <c r="CZ24" s="93" t="n">
        <f aca="false">IF(AND(C24="Working - Legal Holiday on RD",OR(C25="Legal Holiday",C25="Special Holiday",C25="Working - Special Holiday on RD",C25="Normal",C25="Rest Day",C25="Special Holiday on RD",C25="Working - Rest Day",C25="Leave")),BQ24,0)</f>
        <v>0</v>
      </c>
      <c r="DA24" s="93" t="n">
        <f aca="false">IF(AND(C24="Working - Special Holiday on RD",OR(C25="Legal Holiday",C25="Special Holiday",C25="Working - Legal Holiday on RD",C25="Normal",C25="Rest Day",C25="Leave",C25="Legal Holiday on RD")),BQ24,0)</f>
        <v>0</v>
      </c>
      <c r="DB24" s="93" t="n">
        <f aca="false">IF(OR(C23="Special Holiday",C23="Working - Legal Holiday on RD",C23="Working - Special Holiday on RD",C23="Legal Holiday"),BQ23,0)</f>
        <v>0</v>
      </c>
      <c r="DC24" s="93" t="n">
        <f aca="false">IF(AND(C24="Working - Rest Day",OR(C23="Special Holiday",C23="Working - Legal Holiday on RD",C23="Working - Special Holiday on RD",C23="Normal",C23="Legal Holiday")),BQ23,0)</f>
        <v>0</v>
      </c>
      <c r="DD24" s="93" t="n">
        <f aca="false">IF(AND(OR(C24="Legal Holiday",C24="Legal Holiday on a Rest Day"),OR(C23="Special Holiday",C23="Working - Legal Holiday on RD",C23="Working - Special Holiday on RD",C23="Normal")),BQ23,0)</f>
        <v>0</v>
      </c>
      <c r="DE24" s="93" t="n">
        <f aca="false">IF(AND(OR(C24="Special Holiday",C24="Special Holiday on RD"),OR(C23="Legal Holiday",C23="Working - Legal Holiday on RD",C23="Working - Special Holiday on RD",C23="Normal")),BQ23,0)</f>
        <v>0</v>
      </c>
      <c r="DF24" s="93" t="n">
        <f aca="false">IF(AND(C24="Working - Legal Holiday on a RD",OR(C23="Legal Holiday",C23="Special Holiday",C23="Working - Special Holiday on RD",C23="Normal")),BQ23,0)</f>
        <v>0</v>
      </c>
      <c r="DG24" s="93" t="n">
        <f aca="false">IF(AND(C24="Working - Special Holiday on RD",OR(C23="Legal Holiday",C23="Special Holiday",C23="Working - Legal Holiday on RD",C23="Normal")),BQ23,0)</f>
        <v>0</v>
      </c>
      <c r="DH24" s="93" t="n">
        <f aca="false">IF(OR(C25="Special Holiday",C25="Working - Legal Holiday on RD",C25="Working - Special Holiday on RD",C25="Legal Holiday",C25="Legal Holiday on RD",C25="Special Holiday on RD",),BO24,0)</f>
        <v>0</v>
      </c>
      <c r="DI24" s="93" t="n">
        <f aca="false">IF(AND(C24="Working - Rest Day",OR(C25="Special Holiday",C25="Working - Legal Holiday on RD",C25="Working - Special Holiday on RD",C25="Legal Holiday",C25="Legal Holiday on RD",C25="Special Holiday on RD",C25="Leave")),BO24,0)</f>
        <v>0</v>
      </c>
      <c r="DJ24" s="93" t="n">
        <f aca="false">IF(AND(C24="Legal Holiday",OR(C25="Special Holiday",C25="Legal Holiday on RD",C25="Special Holiday on RD",C25="Normal",C25="Rest Day",C25="Working - Legal Holiday on RD",C25="Working - Special Holiday on RD",C25="Working - Rest Day",C25="Leave")),BO24,0)</f>
        <v>0</v>
      </c>
      <c r="DK24" s="93" t="n">
        <f aca="false">IF(AND(C24="Special Holiday",OR(C25="Legal Holiday",C25="Working - Legal Holiday on RD",C25="Working - Special Holiday on RD",C25="Normal",C25="Rest Day",C25="Legal Holiday on RD",C25="Special Holiday on RD",C25="Working - Rest Day",C25="Leave")),BO24,0)</f>
        <v>0</v>
      </c>
      <c r="DL24" s="93" t="n">
        <f aca="false">IF(AND(C24="Working - Legal Holiday on RD",OR(C25="Legal Holiday",C25="Special Holiday",C25="Working - Special Holiday on RD",C25="Normal",C25="Rest Day",C25="Special Holiday on RD",C25="Working - Rest Day",C25="Leave")),BO24,0)</f>
        <v>0</v>
      </c>
      <c r="DM24" s="93" t="n">
        <f aca="false">IF(AND(C24="Working - Special Holiday on RD",OR(C25="Legal Holiday",C25="Special Holiday",C25="Working - Legal Holiday on RD",C25="Normal",C25="Rest Day",C25="Leave",C25="Legal Holiday on RD")),BO24,0)</f>
        <v>0</v>
      </c>
      <c r="DN24" s="93" t="n">
        <f aca="false">IF(OR(C23="Special Holiday",C23="Working - Legal Holiday on RD",C23="Working - Special Holiday on RD",C23="Legal Holiday"),BO23,0)</f>
        <v>0</v>
      </c>
      <c r="DO24" s="93" t="n">
        <f aca="false">IF(AND(C24="Working - Rest Day",OR(C23="Special Holiday",C23="Working - Legal Holiday on RD",C23="Working - Special Holiday on RD",C23="Normal",C23="Legal Holiday")),BO23,0)</f>
        <v>0</v>
      </c>
      <c r="DP24" s="93" t="n">
        <f aca="false">IF(AND(OR(C24="Legal Holiday",C24="Legal Holiday on a Rest Day"),OR(C23="Special Holiday",C23="Working - Legal Holiday on RD",C23="Working - Special Holiday on RD",C23="Normal")),BO23,0)</f>
        <v>0</v>
      </c>
      <c r="DQ24" s="93" t="n">
        <f aca="false">IF(AND(OR(C24="Special Holiday",C24="Special Holiday on RD"),OR(C23="Legal Holiday",C23="Working - Legal Holiday on RD",C23="Working - Special Holiday on RD",C23="Normal")),BO23,0)</f>
        <v>0</v>
      </c>
      <c r="DR24" s="93" t="n">
        <f aca="false">IF(AND(C24="Working - Legal Holiday on a RD",OR(C23="Legal Holiday",C23="Special Holiday",C23="Working - Special Holiday on RD",C23="Normal")),BO23,0)</f>
        <v>0</v>
      </c>
      <c r="DS24" s="93" t="n">
        <f aca="false">IF(AND(C24="Working - Special Holiday on RD",OR(C23="Legal Holiday",C23="Special Holiday",C23="Working - Legal Holiday on RD",C23="Normal")),BO23,0)</f>
        <v>0</v>
      </c>
    </row>
    <row r="25" s="6" customFormat="true" ht="14.25" hidden="false" customHeight="true" outlineLevel="0" collapsed="false">
      <c r="A25" s="79" t="n">
        <v>46200</v>
      </c>
      <c r="B25" s="80" t="str">
        <f aca="false">TEXT(WEEKDAY(A25),"ddd")</f>
        <v>Sat</v>
      </c>
      <c r="C25" s="81" t="s">
        <v>19</v>
      </c>
      <c r="D25" s="82"/>
      <c r="E25" s="79"/>
      <c r="F25" s="82"/>
      <c r="G25" s="82"/>
      <c r="H25" s="82"/>
      <c r="I25" s="83" t="n">
        <f aca="false">IFERROR(IF(N25="Strict",IF(C25="Normal",IFERROR(IF((HOUR(IF(AQ25&lt;=AR25,BB25-AR25,BB25-AQ25))+MINUTE(IF(AQ25&lt;=AR25,BB25-AR25,BB25-AQ25))/60)&gt;=6,HOUR(IF(AQ25&lt;=AR25,BB25-AR25,BB25-AQ25))+MINUTE(IF(AQ25&lt;=AR25,BB25-AR25,BB25-AQ25))/60-1,HOUR(IF(AQ25&lt;=AR25,BB25-AR25,BB25-AQ25))+MINUTE(IF(AQ25&lt;=AR25,BB25-AR25,BB25-AQ25))/60),0),0),IF(N25="Flexi",IF(C25="Normal",IF((HOUR(BB25-AR25)+MINUTE(BB25-AR25)/60)&gt;=6,(HOUR(BB25-AR25)+MINUTE(BB25-AR25)/60)-1,(HOUR(BB25-AR25)+MINUTE(BB25-AR25)/60)),0),0)),0)</f>
        <v>0</v>
      </c>
      <c r="J25" s="96"/>
      <c r="K25" s="79"/>
      <c r="L25" s="82"/>
      <c r="M25" s="79"/>
      <c r="N25" s="79"/>
      <c r="O25" s="85"/>
      <c r="P25" s="79"/>
      <c r="Q25" s="95"/>
      <c r="R25" s="87" t="n">
        <f aca="false">IF(AND(C25="Normal",I25&gt;0),(8-S25),0)-IF(AND(C25="Normal",OR(C26="Special Holiday",C26="Working - Legal Holiday on RD",C26="Working - Special Holiday on RD",C26="Legal Holiday",C26="Legal Holiday on RD",C26="Special Holiday on RD")),BN25,0)+IF(AND(OR(C25="Normal",C25="Leave",C25="Rest Day"),OR(C24="Special Holiday",C24="Working - Legal Holiday on RD",C24="Working - Special Holiday on RD",C24="Legal Holiday")),BN24,0)</f>
        <v>0</v>
      </c>
      <c r="S25" s="87" t="n">
        <f aca="false">IF(C25="Normal",IF(P25="Remain Lates",(IFERROR(IF(N25="Strict",IF(C25="Normal",IF(AQ25&lt;=AR25,HOUR(AR25-AQ25)+(MINUTE(AR25-AQ25)/60),0)+IF(BB25&lt;=BC25,HOUR(BC25-BB25)+(MINUTE(BC25-BB25)/60),0),0),IF(I25=0,0,(8-I25))),0)-(O25/60)),IF((O25/60)&gt;=IFERROR(IF(N25="Strict",IF(C25="Normal",IF(AQ25&lt;=AR25,HOUR(AR25-AQ25)+(MINUTE(AR25-AQ25)/60),0)+IF(BB25&lt;=BC25,HOUR(BC25-BB25)+(MINUTE(BC25-BB25)/60),0),0),IF(I25=0,0,(8-I25))),0),0,IFERROR(IF(N25="Strict",IF(C25="Normal",IF(AQ25&lt;=AR25,HOUR(AR25-AQ25)+(MINUTE(AR25-AQ25)/60),0)+IF(BB25&lt;=BC25,HOUR(BC25-BB25)+(MINUTE(BC25-BB25)/60),0),0),IF(I25=0,0,(8-I25))),0))),0)</f>
        <v>0</v>
      </c>
      <c r="T25" s="88" t="n">
        <f aca="false">IF(AND(C25="Working - Rest Day",BW25&gt;0),(8-IF(BV25&gt;6,BV25-1,BV25)),0)-IF(AND(C25="Working - Rest Day",OR(C26="Special Holiday",C26="Working - Legal Holiday on RD",C26="Working - Special Holiday on RD",C26="Legal Holiday",C26="Legal Holiday on RD",C26="Special Holiday on RD")),BN25,0)+IF(AND(C25="Working - Rest Day",OR(C24="Special Holiday",C24="Working - Legal Holiday on RD",C24="Working - Special Holiday on RD",C24="Legal Holiday")),BN24,0)</f>
        <v>0</v>
      </c>
      <c r="U25" s="88" t="n">
        <f aca="false">IF(AND(C25="Legal Holiday",BW25&gt;0),(8-IF(BV25&gt;6,BV25-1,BV25)),0)-IF(AND(C25="Legal Holiday",OR(C26="Special Holiday",C26="Legal Holiday on RD",C26="Special Holiday on RD",C26="Normal",C26="Rest Day",C26="Working - Legal Holiday on RD",C26="Working - Special Holiday on RD",C26="Working - Rest Day",C26="Leave")),BN25,0)+IF(AND(OR(C25="Legal Holiday",C25="Legal Holiday on RD"),OR(C24="Special Holiday",C24="Working - Legal Holiday on RD",C24="Working - Special Holiday on RD",C24="Normal",C24="Working - Rest Day")),BN24,0)</f>
        <v>0</v>
      </c>
      <c r="V25" s="88" t="n">
        <f aca="false">IF(AND(C25="Special Holiday",BW25&gt;0),(8-IF(BV25&gt;6,BV25-1,BV25)),0)-IF(AND(C25="Special Holiday",OR(C26="Legal Holiday",C26="Working - Legal Holiday on RD",C26="Working - Special Holiday on RD",C26="Normal",C26="Rest Day",C26="Legal Holiday on RD",C26="Special Holiday on RD",C26="Working - Rest Day",C26="Leave")),BN25,0)+IF(AND(OR(C25="Special Holiday",C25="Special Holiday on RD"),OR(C24="Legal Holiday",C24="Working - Legal Holiday on RD",C24="Working - Special Holiday on RD",C24="Working - Rest Day",C24="Normal")),BN24,0)</f>
        <v>0</v>
      </c>
      <c r="W25" s="88" t="n">
        <f aca="false">IF(AND(C25="Working - Legal Holiday on RD",BW25&gt;0),(8-IF(BV25&gt;6,BV25-1,BV25)),0)-IF(AND(C25="Working - Legal Holiday on RD",OR(C26="Legal Holiday",C26="Special Holiday",C26="Working - Special Holiday on RD",C26="Normal",C26="Rest Day",C26="Special Holiday on RD",C26="Working - Rest Day",C26="Leave")),BN25,0)+IF(AND(C25="Working - Legal Holiday on RD",OR(C24="Legal Holiday",C24="Special Holiday",C24="Working - Special Holiday on RD",C24="Working - Rest Day",C24="Normal")),BN24,0)</f>
        <v>0</v>
      </c>
      <c r="X25" s="88" t="n">
        <f aca="false">IF(AND(C25="Working - Special Holiday on RD",BW25&gt;0),(8-IF(BV25&gt;6,BV25-1,BV25)),0)-IF(AND(C25="Working - Special Holiday on RD",OR(C26="Legal Holiday",C26="Special Holiday",C26="Working - Legal Holiday on RD",C26="Normal",C26="Rest Day",C26="Leave",C26="Working - Rest Day",C26="Legal Holiday on RD")),BN25,0)+IF(AND(C25="Working - Special Holiday on RD",OR(C24="Legal Holiday",C24="Special Holiday",C24="Working - Legal Holiday on RD",C24="Normal",C24="Working - Rest Day")),BN24,0)</f>
        <v>0</v>
      </c>
      <c r="Y25" s="88" t="n">
        <f aca="false">IFERROR(IF(C25="Normal",HOUR(AY25-AV25)+MINUTE(AY25-AV25)/60,0),0)-IFERROR(IF(C25="Normal",HOUR(BA25-AX25)+MINUTE(BA25-AX25)/60,0),0)-IF(AND(C25="Normal",OR(C26="Special Holiday",C26="Working - Legal Holiday on RD",C26="Working - Special Holiday on RD",C26="Legal Holiday",C26="Legal Holiday on RD",C26="Special Holiday on RD")),BP25,0)+IF(AND(OR(C25="Normal",C25="Rest Day",C25="Leave"),OR(C24="Special Holiday",C24="Working - Legal Holiday on RD",C24="Working - Special Holiday on RD",C24="Legal Holiday")),BP24,0)</f>
        <v>0</v>
      </c>
      <c r="Z25" s="88" t="n">
        <f aca="false">IFERROR(IF(C25="Working - Rest Day",HOUR(AY25-AV25)+MINUTE(AY25-AV25)/60,0),0)-IFERROR(IF(C25="Working - Rest Day",HOUR(BA25-AX25)+MINUTE(BA25-AX25)/60,0),0)-IF(AND(C25="Working - Rest Day",OR(C26="Special Holiday",C26="Working - Legal Holiday on RD",C26="Working - Special Holiday on RD",C26="Legal Holiday",C26="Legal Holiday on RD",C26="Special Holiday on RD")),BP25,0)+IF(AND(C25="Working - Rest Day",OR(C24="Special Holiday",C24="Working - Legal Holiday on RD",C24="Working - Special Holiday on RD",C24="Legal Holiday")),BP24,0)</f>
        <v>0</v>
      </c>
      <c r="AA25" s="88" t="n">
        <f aca="false">IFERROR(IF(C25="Legal Holiday",HOUR(AY25-AV25)+MINUTE(AY25-AV25)/60,0),0)-IFERROR(IF(C25="Legal Holiday",HOUR(BA25-AX25)+MINUTE(BA25-AX25)/60,0),0)-IF(AND(C25="Legal Holiday",OR(C26="Special Holiday",C26="Legal Holiday on RD",C26="Special Holiday on RD",C26="Normal",C26="Rest Day",C26="Working - Legal Holiday on RD",C26="Working - Special Holiday on RD",C26="Working - Rest Day",C26="Leave")),BP25,0)+IF(AND(OR(C25="Legal Holiday",C25="Legal Holiday on RD"),OR(C24="Special Holiday",C24="Working - Legal Holiday on RD",C24="Working - Special Holiday on RD",C24="Normal",C24="Working - Rest Day")),BP24,0)</f>
        <v>0</v>
      </c>
      <c r="AB25" s="88" t="n">
        <f aca="false">IFERROR(IF(C25="Special Holiday",HOUR(AY25-AV25)+MINUTE(AY25-AV25)/60,0),0)-IFERROR(IF(C25="Special Holiday",HOUR(BA25-AX25)+MINUTE(BA25-AX25)/60,0),0)-IF(AND(C25="Special Holiday",OR(C26="Legal Holiday",C26="Working - Legal Holiday on RD",C26="Working - Special Holiday on RD",C26="Normal",C26="Rest Day",C26="Legal Holiday on RD",C26="Special Holiday on RD",C26="Working - Rest Day",C26="Leave")),BP25,0)+IF(AND(OR(C25="Special Holiday",C25="Special Holiday on RD"),OR(C24="Legal Holiday",C24="Working - Legal Holiday on RD",C24="Working - Special Holiday on RD",C24="Normal",C24="Working - Rest Day")),BP24,0)</f>
        <v>0</v>
      </c>
      <c r="AC25" s="88" t="n">
        <f aca="false">IFERROR(IF(C25="Working - Legal Holiday on RD",HOUR(AY25-AV25)+MINUTE(AY25-AV25)/60,0),0)-IFERROR(IF(C25="Working - Legal Holiday on RD",HOUR(BA25-AX25)+MINUTE(BA25-AX25)/60,0),0)-IF(AND(C25="Working - Legal Holiday on RD",OR(C26="Legal Holiday",C26="Special Holiday",C26="Working - Special Holiday on RD",C26="Normal",C26="Rest Day",C26="Special Holiday on RD",C26="Working - Rest Day",C26="Leave")),BP25,0)+IF(AND(C25="Working - Legal Holiday on RD",OR(C24="Legal Holiday",C24="Special Holiday",C24="Working - Special Holiday on RD",C24="Normal",C24="Working - Rest Day")),BP24,0)</f>
        <v>0</v>
      </c>
      <c r="AD25" s="88" t="n">
        <f aca="false">IFERROR(IF(C25="Working - Special Holiday on RD",HOUR(AY25-AV25)+MINUTE(AY25-AV25)/60,0),0)-IFERROR(IF(C25="Working - Special Holiday on RD",HOUR(BA25-AX25)+MINUTE(BA25-AX25)/60,0),0)-IF(AND(C25="Working - Special Holiday on RD",OR(C26="Legal Holiday",C26="Special Holiday",C26="Working - Legal Holiday on RD",C26="Normal",C26="Rest Day",C26="Working - Rest Day",C26="Leave",C26="Legal Holiday on RD")),BP25,0)+IF(AND(C25="Working - Special Holiday on RD",OR(C24="Legal Holiday",C24="Special Holiday",C24="Working - Legal Holiday on RD",C24="Normal",C24="Working - Rest Day")),BP24,0)</f>
        <v>0</v>
      </c>
      <c r="AE25" s="88" t="n">
        <f aca="false">IFERROR(IF(C25="Normal",HOUR(BA25-AX25)+MINUTE(BA25-AX25)/60,0),0)-IF(AND(C25="Normal",OR(C26="Special Holiday",C26="Working - Legal Holiday on RD",C26="Working - Special Holiday on RD",C26="Legal Holiday",C26="Legal Holiday on RD",C26="Special Holiday on RD")),BQ25,0)+IF(AND(OR(C25="Normal",C25="Rest Day",C25="Leave"),OR(C24="Special Holiday",C24="Working - Legal Holiday on RD",C24="Working - Special Holiday on RD",C24="Legal Holiday")),BQ24,0)</f>
        <v>0</v>
      </c>
      <c r="AF25" s="88" t="n">
        <f aca="false">IFERROR(IF(C25="Working - Rest Day",HOUR(BA25-AX25)+MINUTE(BA25-AX25)/60,0),0)-IF(AND(C25="Working - Rest Day",OR(C26="Special Holiday",C26="Working - Legal Holiday on RD",C26="Working - Special Holiday on RD",C26="Legal Holiday",C26="Legal Holiday on RD",C26="Special Holiday on RD")),BQ25,0)+IF(AND(C25="Working - Rest Day",OR(C24="Special Holiday",C24="Working - Legal Holiday on RD",C24="Working - Special Holiday on RD",C24="Legal Holiday")),BQ24,0)</f>
        <v>0</v>
      </c>
      <c r="AG25" s="88" t="n">
        <f aca="false">IFERROR(IF(C25="Legal Holiday",HOUR(BA25-AX25)+MINUTE(BA25-AX25)/60,0),0)-IF(AND(C25="Legal Holiday",OR(C26="Special Holiday",C26="Legal Holiday on RD",C26="Special Holiday on RD",C26="Normal",C26="Rest Day",C26="Working - Legal Holiday on RD",C26="Working - Special Holiday on RD",C26="Working - Rest Day",C26="Leave")),BQ25,0)+IF(AND(OR(C25="Legal Holiday",C25="Legal Holiday on RD"),OR(C24="Special Holiday",C24="Working - Legal Holiday on RD",C24="Working - Special Holiday on RD",C24="Normal",C24="Working - Rest Day")),BQ24,0)</f>
        <v>0</v>
      </c>
      <c r="AH25" s="88" t="n">
        <f aca="false">IFERROR(IF(C25="Special Holiday",HOUR(BA25-AX25)+MINUTE(BA25-AX25)/60,0),0)-IF(AND(C25="Special Holiday",OR(C26="Legal Holiday",C26="Working - Legal Holiday on RD",C26="Working - Special Holiday on RD",C26="Normal",C26="Rest Day",C26="Legal Holiday on RD",C26="Special Holiday on RD",C26="Working - Rest Day",C26="Leave")),BQ25,0)+IF(AND(OR(C25="Special Holiday",C25="Special Holiday on RD"),OR(C24="Legal Holiday",C24="Working - Legal Holiday on RD",C24="Working - Special Holiday on RD",C24="Normal",C24="Working - Rest Day")),BQ24,0)</f>
        <v>0</v>
      </c>
      <c r="AI25" s="88" t="n">
        <f aca="false">IFERROR(IF(C25="Working - Legal Holiday on RD",HOUR(BA25-AX25)+MINUTE(BA25-AX25)/60,0),0)-IF(AND(C25="Working - Legal Holiday on RD",OR(C26="Legal Holiday",C26="Special Holiday",C26="Working - Special Holiday on RD",C26="Normal",C26="Rest Day",C26="Special Holiday on RD",C26="Working - Rest Day",C26="Leave")),BQ25,0)+IF(AND(C25="Working - Legal Holiday on RD",OR(C24="Legal Holiday",C24="Special Holiday",C24="Working - Special Holiday on RD",C24="Normal",C24="Working - Rest Day")),BQ24,0)</f>
        <v>0</v>
      </c>
      <c r="AJ25" s="88" t="n">
        <f aca="false">IFERROR(IF(C25="Working - Special Holiday on RD",HOUR(BA25-AX25)+MINUTE(BA25-AX25)/60,0),0)-IF(AND(C25="Working - Special Holiday on RD",OR(C26="Legal Holiday",C26="Special Holiday",C26="Working - Legal Holiday on RD",C26="Normal",C26="Rest Day",C26="Working - Rest Day",C26="Leave",C26="Legal Holiday on RD")),BQ25,0)+IF(AND(C25="Working - Special Holiday on RD",OR(C24="Legal Holiday",C24="Special Holiday",C24="Working - Legal Holiday on RD",C24="Normal",C24="Working - Rest Day")),BQ24,0)</f>
        <v>0</v>
      </c>
      <c r="AK25" s="88" t="n">
        <f aca="false">IFERROR(IF(C25="Normal",HOUR(BF25-AU25)+(MINUTE(BF25-AU25)/60),0),0)-IF(AND(C25="Normal",OR(C26="Special Holiday",C26="Working - Legal Holiday on RD",C26="Working - Special Holiday on RD",C26="Legal Holiday",C26="Legal Holiday on RD",C26="Special Holiday on RD")),BO25,0)+IF(AND(OR(C25="Normal",C25="Rest Day",C25="Leave"),OR(C24="Special Holiday",C24="Working - Legal Holiday on RD",C24="Working - Special Holiday on RD",C24="Legal Holiday")),BO24,0)</f>
        <v>0</v>
      </c>
      <c r="AL25" s="88" t="n">
        <f aca="false">IFERROR(IF(C25="Working - Rest Day",HOUR(BF25-AU25)+(MINUTE(BF25-AU25)/60),0),0)-IF(AND(C25="Working - Rest Day",OR(C26="Special Holiday",C26="Working - Legal Holiday on RD",C26="Working - Special Holiday on RD",C26="Legal Holiday",C26="Legal Holiday on RD",C26="Special Holiday on RD")),BO25,0)+IF(AND(C25="Working - Rest Day",OR(C24="Special Holiday",C24="Working - Legal Holiday on RD",C24="Working - Special Holiday on RD",C24="Legal Holiday")),BO24,0)</f>
        <v>0</v>
      </c>
      <c r="AM25" s="88" t="n">
        <f aca="false">IFERROR(IF(C25="Legal Holiday",HOUR(BF25-AU25)+(MINUTE(BF25-AU25)/60),0),0)-IF(AND(C25="Legal Holiday",OR(C26="Special Holiday",C26="Legal Holiday on RD",C26="Special Holiday on RD",C26="Normal",C26="Rest Day",C26="Working - Legal Holiday on RD",C26="Working - Special Holiday on RD",C26="Working - Rest Day",C26="Leave")),BO25,0)+IF(AND(OR(C25="Legal Holiday",C25="Legal Holiday on RD"),OR(C24="Special Holiday",C24="Working - Legal Holiday on RD",C24="Working - Special Holiday on RD",C24="Normal",C24="Working - Rest Day")),BO24,0)</f>
        <v>0</v>
      </c>
      <c r="AN25" s="88" t="n">
        <f aca="false">IFERROR(IF(C25="Special Holiday",HOUR(BF25-AU25)+(MINUTE(BF25-AU25)/60),0),0)-IF(AND(C25="Special Holiday",OR(C26="Legal Holiday",C26="Working - Legal Holiday on RD",C26="Working - Special Holiday on RD",C26="Normal",C26="Rest Day",C26="Legal Holiday on RD",C26="Special Holiday on RD",C26="Working - Rest Day",C26="Leave")),BO25,0)+IF(AND(OR(C25="Special Holiday",C25="Special Holiday on RD"),OR(C24="Legal Holiday",C24="Working - Legal Holiday on RD",C24="Working - Special Holiday on RD",C24="Normal",C24="Working - Rest Day")),BO24,0)</f>
        <v>0</v>
      </c>
      <c r="AO25" s="88" t="n">
        <f aca="false">IFERROR(IF(C25="Working - Legal Holiday on RD",HOUR(BF25-AU25)+(MINUTE(BF25-AU25)/60),0),0)-IF(AND(C25="Working - Legal Holiday on RD",OR(C26="Legal Holiday",C26="Special Holiday",C26="Working - Special Holiday on RD",C26="Normal",C26="Rest Day",C26="Special Holiday on RD",C26="Working - Rest Day",C26="Leave")),BO25,0)+IF(AND(C25="Working - Legal Holiday on RD",OR(C24="Legal Holiday",C24="Special Holiday",C24="Working - Special Holiday on RD",C24="Normal",C24="Working - Rest Day")),BO24,0)</f>
        <v>0</v>
      </c>
      <c r="AP25" s="88" t="n">
        <f aca="false">IFERROR(IF(C25="Working - Special Holiday on RD",HOUR(BF25-AU25)+(MINUTE(BF25-AU25)/60),0),0)-IF(AND(C25="Working - Special Holiday on RD",OR(C26="Legal Holiday",C26="Special Holiday",C26="Working - Legal Holiday on RD",C26="Normal",C26="Rest Day",C26="Working - Rest Day",C26="Leave",C26="Legal Holiday on RD")),BO25,0)+IF(AND(C25="Working - Special Holiday on RD",OR(C24="Legal Holiday",C24="Special Holiday",C24="Working - Legal Holiday on RD",C24="Normal",C24="Working - Rest Day")),BO24,0)</f>
        <v>0</v>
      </c>
      <c r="AQ25" s="89" t="str">
        <f aca="false">TEXT(D25,"HH:MM")&amp;" "&amp;TEXT(A25,"DD-mmm-YY")</f>
        <v>00:00 27-Jun-26</v>
      </c>
      <c r="AR25" s="89" t="str">
        <f aca="false">TEXT(G25,"HH:MM")&amp;" "&amp;TEXT(A25,"DD-mmm-YY")</f>
        <v>00:00 27-Jun-26</v>
      </c>
      <c r="AS25" s="60" t="str">
        <f aca="false">IF($AR$1&lt;D25,AR25,IF(AT25&lt;=AR25,AR25,AT25))</f>
        <v>22:00 26-Jun-26</v>
      </c>
      <c r="AT25" s="60" t="str">
        <f aca="false">IF(AND(D25&gt;=0,D25&lt;0.25),TEXT($AR$1,"HH:MM")&amp;" "&amp;TEXT((A25-1),"dd-mmm-yy"),TEXT($AR$1,"HH:MM")&amp;" "&amp;TEXT(A25,"dd-mmm-yy"))</f>
        <v>22:00 26-Jun-26</v>
      </c>
      <c r="AU25" s="40" t="e">
        <f aca="false" t="array" ref="AU25:AU25">MAX(AQ25:AS25+0)</f>
        <v>#VALUE!</v>
      </c>
      <c r="AV25" s="60" t="str">
        <f aca="false">TEXT(J25,"HH:MM")&amp;" "&amp;TEXT(K25,"DD-mmm-YY")</f>
        <v>00:00 00-Jan-00</v>
      </c>
      <c r="AW25" s="60" t="str">
        <f aca="false">IF(K25&lt;A25,TEXT($AR$1,"HH:MM")&amp;" "&amp;TEXT((A25-1),"dd-mmm-yy"),IF(AND(D25&gt;0,D25&lt;0.25,L25&lt;0.916666666666667,A25&lt;M25),TEXT($AR$1,"HH:MM")&amp;" "&amp;TEXT((A25-1),"dd-mmm-yy"),TEXT($AR$1,"HH:MM")&amp;" "&amp;TEXT(A25,"dd-mmm-yy")))</f>
        <v>22:00 26-Jun-26</v>
      </c>
      <c r="AX25" s="40" t="e">
        <f aca="false" t="array" ref="AX25:AX25">MAX(AV25:AW25+0)</f>
        <v>#VALUE!</v>
      </c>
      <c r="AY25" s="60" t="str">
        <f aca="false">TEXT(L25,"HH:MM")&amp;" "&amp;TEXT(M25,"DD-mmm-YY")</f>
        <v>00:00 00-Jan-00</v>
      </c>
      <c r="AZ25" s="60" t="str">
        <f aca="false">IF(AND(D25&gt;=0,D25&lt;0.25,L25&lt;0.916666666666667,A25&gt;M25),TEXT($AR$2,"HH:MM")&amp;" "&amp;TEXT(A25,"DD-mmm-YY"),TEXT($AR$2,"HH:MM")&amp;" "&amp;TEXT((A25+1),"DD-mmm-YY"))</f>
        <v>06:00 27-Jun-26</v>
      </c>
      <c r="BA25" s="40" t="e">
        <f aca="false" t="array" ref="BA25:BA25">MIN(AY25:AZ25+0)</f>
        <v>#VALUE!</v>
      </c>
      <c r="BB25" s="60" t="str">
        <f aca="false">IF(G25&gt;H25,TEXT(H25,"HH:MM")&amp;" "&amp;TEXT(E25,"DD-mmm-YY"),IF(H25&gt;1,TEXT(H25,"HH:MM")&amp;" "&amp;TEXT(E25,"DD-mmm-YY"),TEXT(H25,"HH:MM")&amp;" "&amp;TEXT(A25,"DD-mmm-YY")))</f>
        <v>00:00 27-Jun-26</v>
      </c>
      <c r="BC25" s="60" t="str">
        <f aca="false">IF(N25="Flexi",TEXT(G25+$BC$1,"HH:MM")&amp;" "&amp;TEXT(E25,"DD-mmm-YY"),TEXT(F25,"HH:MM")&amp;" "&amp;TEXT(E25,"DD-mmm-YY"))</f>
        <v>00:00 30-Dec-99</v>
      </c>
      <c r="BD25" s="90" t="e">
        <f aca="false" t="array" ref="BD25:BD25">MIN(BB25:BC25+0)</f>
        <v>#VALUE!</v>
      </c>
      <c r="BE25" s="60" t="str">
        <f aca="false">IF(D25&gt;0.25,TEXT($AR$2,"HH:MM")&amp;" "&amp;TEXT(IF(BG25&lt;H25,A25+1,E25),"DD-mmm-YY"),IF(D25&gt;=0,TEXT($AR$2,"HH:MM")&amp;" "&amp;TEXT(IF(BG25&lt;H25,A25+1,E25)-1,"DD-mmm-YY"),TEXT($AR$2,"HH:MM")&amp;" "&amp;TEXT(IF(BG25&lt;H25,A25+1,E25),"DD-mmm-YY")))</f>
        <v>06:00 29-Dec-99</v>
      </c>
      <c r="BF25" s="40" t="e">
        <f aca="false" t="array" ref="BF25:BF25">IF(N25="Flexi",IF(AND(BB25&gt;BC25,BB25&lt;BE25),BB25,MIN(BB25:BE25+0)),MIN(BB25:BE25+0))</f>
        <v>#VALUE!</v>
      </c>
      <c r="BG25" s="7" t="n">
        <v>0</v>
      </c>
      <c r="BH25" s="9" t="str">
        <f aca="false">TEXT(BG25,"HH:MM")&amp;" "&amp;TEXT(A25+1,"DD-mmm-YY")</f>
        <v>00:00 28-Jun-26</v>
      </c>
      <c r="BI25" s="9" t="str">
        <f aca="false">AV25</f>
        <v>00:00 00-Jan-00</v>
      </c>
      <c r="BJ25" s="91" t="e">
        <f aca="false" t="array" ref="BJ25:BJ25">MAX(BH25:BI25+0)</f>
        <v>#VALUE!</v>
      </c>
      <c r="BK25" s="9" t="str">
        <f aca="false">TEXT($AR$2,"HH:MM")&amp;" "&amp;TEXT(A25+1,"DD-mmm-YY")</f>
        <v>06:00 28-Jun-26</v>
      </c>
      <c r="BL25" s="9" t="str">
        <f aca="false">AY25</f>
        <v>00:00 00-Jan-00</v>
      </c>
      <c r="BM25" s="91" t="e">
        <f aca="false" t="array" ref="BM25:BM25">MIN(BK25:BL25+0)</f>
        <v>#VALUE!</v>
      </c>
      <c r="BN25" s="13" t="n">
        <f aca="false">IF(IFERROR(IF(E25&gt;A25,IF(BD25&gt;=BD25,HOUR(BD25-BH25)+MINUTE(BD25-BH25)/60,0),0),0)&gt;5,(IFERROR(IF(E25&gt;A25,IF(BD25&gt;=BD25,HOUR(BD25-BH25)+MINUTE(BD25-BH25)/60,0),0),0)-1),IFERROR(IF(E25&gt;A25,IF(BD25&gt;=BD25,HOUR(BD25-BH25)+MINUTE(BD25-BH25)/60,0),0),0))</f>
        <v>0</v>
      </c>
      <c r="BO25" s="13" t="n">
        <f aca="false">IFERROR(IF(E25&gt;A25,HOUR(BF25-BH25)+MINUTE(BF25-BH25)/60,0),0)</f>
        <v>0</v>
      </c>
      <c r="BP25" s="92" t="n">
        <f aca="false">IF(AND(A25&lt;M25,L25&gt;0.25,L25&lt;=0.916666666666667,J25&gt;=0.25),IFERROR(HOUR(AY25-AV25)+MINUTE(AY25-AV25)/60,0),IFERROR(HOUR(AY25-BK25)+MINUTE(AY25-BK25)/60,0))</f>
        <v>0</v>
      </c>
      <c r="BQ25" s="13" t="n">
        <f aca="false">IFERROR(HOUR(BM25-BJ25)+MINUTE(BM25-BJ25)/60,0)</f>
        <v>0</v>
      </c>
      <c r="BR25" s="13" t="n">
        <f aca="false">IF(AND(C25=C25,BW25&gt;0),(8-BV25),0)-BN25</f>
        <v>0</v>
      </c>
      <c r="BS25" s="13" t="n">
        <f aca="false">IFERROR(IF(C25=C25,HOUR(BF25-AU25)+(MINUTE(BF25-AU25)/60),0),0)-BO25</f>
        <v>0</v>
      </c>
      <c r="BT25" s="92" t="n">
        <f aca="false">IFERROR(IF(C25=C25,HOUR(AY25-AV25)+MINUTE(AY25-AV25)/60,0),0)-IFERROR(IF(C25=C25,HOUR(BA25-AX25)+MINUTE(BA25-AX25)/60,0),0)-BP25</f>
        <v>0</v>
      </c>
      <c r="BU25" s="13" t="n">
        <f aca="false">IFERROR(IF(C25=C25,HOUR(BA25-AX25)+MINUTE(BA25-AX25)/60,0),0)-BQ25</f>
        <v>0</v>
      </c>
      <c r="BV25" s="13" t="n">
        <f aca="false">IF(C25=C25,IF(P25="Remain Lates",(IFERROR(IF(N25="Strict",IF(C25=C25,IF(AQ25&lt;=AR25,HOUR(AR25-AQ25)+(MINUTE(AR25-AQ25)/60),0)+IF(BB25&lt;=BC25,HOUR(BC25-BB25)+(MINUTE(BC25-BB25)/60),0),0),IF(BW25=0,0,(8-BW25))),0)-(O25/60)),IF((O25/60)&gt;=IFERROR(IF(N25="Strict",IF(C25=C25,IF(AQ25&lt;=AR25,HOUR(AR25-AQ25)+(MINUTE(AR25-AQ25)/60),0)+IF(BB25&lt;=BC25,HOUR(BC25-BB25)+(MINUTE(BC25-BB25)/60),0),0),IF(BW25=0,0,(8-BW25))),0),0,IFERROR(IF(N25="Strict",IF(C25=C25,IF(AQ25&lt;=AR25,HOUR(AR25-AQ25)+(MINUTE(AR25-AQ25)/60),0)+IF(BB25&lt;=BC25,HOUR(BC25-BB25)+(MINUTE(BC25-BB25)/60),0),0),IF(BW25=0,0,(8-BW25))),0))),0)</f>
        <v>0</v>
      </c>
      <c r="BW25" s="13" t="n">
        <f aca="false">IFERROR(IF(N25="Strict",IF(C25=C25,IFERROR(IF((HOUR(IF(AQ25&lt;=AR25,BB25-AR25,BB25-AQ25))+MINUTE(IF(AQ25&lt;=AR25,BB25-AR25,BB25-AQ25))/60)&gt;=6,HOUR(IF(AQ25&lt;=AR25,BB25-AR25,BB25-AQ25))+MINUTE(IF(AQ25&lt;=AR25,BB25-AR25,BB25-AQ25))/60-1,HOUR(IF(AQ25&lt;=AR25,BB25-AR25,BB25-AQ25))+MINUTE(IF(AQ25&lt;=AR25,BB25-AR25,BB25-AQ25))/60),0),0),IF(N25="Flexi",IF(C25=C25,IF((HOUR(BB25-AR25)+MINUTE(BB25-AR25)/60)&gt;=6,(HOUR(BB25-AR25)+MINUTE(BB25-AR25)/60)-1,(HOUR(BB25-AR25)+MINUTE(BB25-AR25)/60)),0),0)),0)</f>
        <v>0</v>
      </c>
      <c r="BX25" s="93" t="n">
        <f aca="false">IF(OR(C26="Special Holiday",C26="Working - Legal Holiday on RD",C26="Working - Special Holiday on RD",C26="Legal Holiday",C26="Legal Holiday on RD",C26="Special Holiday on RD",),BN25,0)</f>
        <v>0</v>
      </c>
      <c r="BY25" s="93" t="n">
        <f aca="false">IF(AND(C25="Working - Rest Day",OR(C26="Special Holiday",C26="Working - Legal Holiday on RD",C26="Working - Special Holiday on RD",C26="Legal Holiday",C26="Legal Holiday on RD",C26="Special Holiday on RD",C26="Leave")),BN25,0)</f>
        <v>0</v>
      </c>
      <c r="BZ25" s="93" t="n">
        <f aca="false">IF(AND(C25="Legal Holiday",OR(C26="Special Holiday",C26="Legal Holiday on RD",C26="Special Holiday on RD",C26="Normal",C26="Rest Day",C26="Working - Legal Holiday on RD",C26="Working - Special Holiday on RD",C26="Working - Rest Day",C26="Leave")),BN25,0)</f>
        <v>0</v>
      </c>
      <c r="CA25" s="93" t="n">
        <f aca="false">IF(AND(C25="Special Holiday",OR(C26="Legal Holiday",C26="Working - Legal Holiday on RD",C26="Working - Special Holiday on RD",C26="Normal",C26="Rest Day",C26="Legal Holiday on RD",C26="Special Holiday on RD",C26="Working - Rest Day",C26="Leave")),BN25,0)</f>
        <v>0</v>
      </c>
      <c r="CB25" s="93" t="n">
        <f aca="false">IF(AND(C25="Working - Legal Holiday on RD",OR(C26="Legal Holiday",C26="Special Holiday",C26="Working - Special Holiday on RD",C26="Normal",C26="Rest Day",C26="Special Holiday on RD",C26="Working - Rest Day",C26="Leave")),BN25,0)</f>
        <v>0</v>
      </c>
      <c r="CC25" s="93" t="n">
        <f aca="false">IF(AND(C25="Working - Special Holiday on RD",OR(C26="Legal Holiday",C26="Special Holiday",C26="Working - Legal Holiday on RD",C26="Normal",C26="Rest Day",C26="Leave",C26="Legal Holiday on RD")),BN25,0)</f>
        <v>0</v>
      </c>
      <c r="CD25" s="93" t="n">
        <f aca="false">IF(OR(C24="Special Holiday",C24="Working - Legal Holiday on RD",C24="Working - Special Holiday on RD",C24="Legal Holiday"),BN24,0)</f>
        <v>0</v>
      </c>
      <c r="CE25" s="93" t="n">
        <f aca="false">IF(AND(C25="Working - Rest Day",OR(C24="Special Holiday",C24="Working - Legal Holiday on RD",C24="Working - Special Holiday on RD",C24="Normal",C24="Legal Holiday")),BN24,0)</f>
        <v>0</v>
      </c>
      <c r="CF25" s="93" t="n">
        <f aca="false">IF(AND(OR(C25="Legal Holiday",C25="Legal Holiday on a Rest Day"),OR(C24="Special Holiday",C24="Working - Legal Holiday on RD",C24="Working - Special Holiday on RD",C24="Normal")),BN24,0)</f>
        <v>0</v>
      </c>
      <c r="CG25" s="93" t="n">
        <f aca="false">IF(AND(OR(C25="Special Holiday",C25="Special Holiday on RD"),OR(C24="Legal Holiday",C24="Working - Legal Holiday on RD",C24="Working - Special Holiday on RD",C24="Normal")),BN24,0)</f>
        <v>0</v>
      </c>
      <c r="CH25" s="93" t="n">
        <f aca="false">IF(AND(C25="Working - Legal Holiday on a RD",OR(C24="Legal Holiday",C24="Special Holiday",C24="Working - Special Holiday on RD",C24="Normal")),BN24,0)</f>
        <v>0</v>
      </c>
      <c r="CI25" s="93" t="n">
        <f aca="false">IF(AND(C25="Working - Special Holiday on RD",OR(C24="Legal Holiday",C24="Special Holiday",C24="Working - Legal Holiday on RD",C24="Normal")),BN24,0)</f>
        <v>0</v>
      </c>
      <c r="CJ25" s="93" t="n">
        <f aca="false">IF(OR(C26="Special Holiday",C26="Working - Legal Holiday on RD",C26="Working - Special Holiday on RD",C26="Legal Holiday",C26="Legal Holiday on RD",C26="Special Holiday on RD",),BP25,0)</f>
        <v>0</v>
      </c>
      <c r="CK25" s="93" t="n">
        <f aca="false">IF(AND(C25="Working - Rest Day",OR(C26="Special Holiday",C26="Working - Legal Holiday on RD",C26="Working - Special Holiday on RD",C26="Legal Holiday",C26="Legal Holiday on RD",C26="Special Holiday on RD",C26="Leave")),BP25,0)</f>
        <v>0</v>
      </c>
      <c r="CL25" s="93" t="n">
        <f aca="false">IF(AND(C25="Legal Holiday",OR(C26="Special Holiday",C26="Legal Holiday on RD",C26="Special Holiday on RD",C26="Normal",C26="Rest Day",C26="Working - Legal Holiday on RD",C26="Working - Special Holiday on RD",C26="Working - Rest Day",C26="Leave")),BP25,0)</f>
        <v>0</v>
      </c>
      <c r="CM25" s="93" t="n">
        <f aca="false">IF(AND(C25="Special Holiday",OR(C26="Legal Holiday",C26="Working - Legal Holiday on RD",C26="Working - Special Holiday on RD",C26="Normal",C26="Rest Day",C26="Legal Holiday on RD",C26="Special Holiday on RD",C26="Working - Rest Day",C26="Leave")),BP25,0)</f>
        <v>0</v>
      </c>
      <c r="CN25" s="93" t="n">
        <f aca="false">IF(AND(C25="Working - Legal Holiday on RD",OR(C26="Legal Holiday",C26="Special Holiday",C26="Working - Special Holiday on RD",C26="Normal",C26="Rest Day",C26="Special Holiday on RD",C26="Working - Rest Day",C26="Leave")),BP25,0)</f>
        <v>0</v>
      </c>
      <c r="CO25" s="93" t="n">
        <f aca="false">IF(AND(C25="Working - Special Holiday on RD",OR(C26="Legal Holiday",C26="Special Holiday",C26="Working - Legal Holiday on RD",C26="Normal",C26="Rest Day",C26="Leave",C26="Legal Holiday on RD")),BP25,0)</f>
        <v>0</v>
      </c>
      <c r="CP25" s="93" t="n">
        <f aca="false">IF(OR(C24="Special Holiday",C24="Working - Legal Holiday on RD",C24="Working - Special Holiday on RD",C24="Legal Holiday"),BP24,0)</f>
        <v>0</v>
      </c>
      <c r="CQ25" s="93" t="n">
        <f aca="false">IF(AND(C25="Working - Rest Day",OR(C24="Special Holiday",C24="Working - Legal Holiday on RD",C24="Working - Special Holiday on RD",C24="Normal",C24="Legal Holiday")),BP24,0)</f>
        <v>0</v>
      </c>
      <c r="CR25" s="93" t="n">
        <f aca="false">IF(AND(OR(C25="Legal Holiday",C25="Legal Holiday on a Rest Day"),OR(C24="Special Holiday",C24="Working - Legal Holiday on RD",C24="Working - Special Holiday on RD",C24="Normal")),BP24,0)</f>
        <v>0</v>
      </c>
      <c r="CS25" s="93" t="n">
        <f aca="false">IF(AND(OR(C25="Special Holiday",C25="Special Holiday on RD"),OR(C24="Legal Holiday",C24="Working - Legal Holiday on RD",C24="Working - Special Holiday on RD",C24="Normal")),BP24,0)</f>
        <v>0</v>
      </c>
      <c r="CT25" s="93" t="n">
        <f aca="false">IF(AND(C25="Working - Legal Holiday on a RD",OR(C24="Legal Holiday",C24="Special Holiday",C24="Working - Special Holiday on RD",C24="Normal")),BP24,0)</f>
        <v>0</v>
      </c>
      <c r="CU25" s="93" t="n">
        <f aca="false">IF(AND(C25="Working - Special Holiday on RD",OR(C24="Legal Holiday",C24="Special Holiday",C24="Working - Legal Holiday on RD",C24="Normal")),BP24,0)</f>
        <v>0</v>
      </c>
      <c r="CV25" s="93" t="n">
        <f aca="false">IF(OR(C26="Special Holiday",C26="Working - Legal Holiday on RD",C26="Working - Special Holiday on RD",C26="Legal Holiday",C26="Legal Holiday on RD",C26="Special Holiday on RD",),BQ25,0)</f>
        <v>0</v>
      </c>
      <c r="CW25" s="93" t="n">
        <f aca="false">IF(AND(C25="Working - Rest Day",OR(C26="Special Holiday",C26="Working - Legal Holiday on RD",C26="Working - Special Holiday on RD",C26="Legal Holiday",C26="Legal Holiday on RD",C26="Special Holiday on RD",C26="Leave")),BQ25,0)</f>
        <v>0</v>
      </c>
      <c r="CX25" s="93" t="n">
        <f aca="false">IF(AND(C25="Legal Holiday",OR(C26="Special Holiday",C26="Legal Holiday on RD",C26="Special Holiday on RD",C26="Normal",C26="Rest Day",C26="Working - Legal Holiday on RD",C26="Working - Special Holiday on RD",C26="Working - Rest Day",C26="Leave")),BQ25,0)</f>
        <v>0</v>
      </c>
      <c r="CY25" s="93" t="n">
        <f aca="false">IF(AND(C25="Special Holiday",OR(C26="Legal Holiday",C26="Working - Legal Holiday on RD",C26="Working - Special Holiday on RD",C26="Normal",C26="Rest Day",C26="Legal Holiday on RD",C26="Special Holiday on RD",C26="Working - Rest Day",C26="Leave")),BQ25,0)</f>
        <v>0</v>
      </c>
      <c r="CZ25" s="93" t="n">
        <f aca="false">IF(AND(C25="Working - Legal Holiday on RD",OR(C26="Legal Holiday",C26="Special Holiday",C26="Working - Special Holiday on RD",C26="Normal",C26="Rest Day",C26="Special Holiday on RD",C26="Working - Rest Day",C26="Leave")),BQ25,0)</f>
        <v>0</v>
      </c>
      <c r="DA25" s="93" t="n">
        <f aca="false">IF(AND(C25="Working - Special Holiday on RD",OR(C26="Legal Holiday",C26="Special Holiday",C26="Working - Legal Holiday on RD",C26="Normal",C26="Rest Day",C26="Leave",C26="Legal Holiday on RD")),BQ25,0)</f>
        <v>0</v>
      </c>
      <c r="DB25" s="93" t="n">
        <f aca="false">IF(OR(C24="Special Holiday",C24="Working - Legal Holiday on RD",C24="Working - Special Holiday on RD",C24="Legal Holiday"),BQ24,0)</f>
        <v>0</v>
      </c>
      <c r="DC25" s="93" t="n">
        <f aca="false">IF(AND(C25="Working - Rest Day",OR(C24="Special Holiday",C24="Working - Legal Holiday on RD",C24="Working - Special Holiday on RD",C24="Normal",C24="Legal Holiday")),BQ24,0)</f>
        <v>0</v>
      </c>
      <c r="DD25" s="93" t="n">
        <f aca="false">IF(AND(OR(C25="Legal Holiday",C25="Legal Holiday on a Rest Day"),OR(C24="Special Holiday",C24="Working - Legal Holiday on RD",C24="Working - Special Holiday on RD",C24="Normal")),BQ24,0)</f>
        <v>0</v>
      </c>
      <c r="DE25" s="93" t="n">
        <f aca="false">IF(AND(OR(C25="Special Holiday",C25="Special Holiday on RD"),OR(C24="Legal Holiday",C24="Working - Legal Holiday on RD",C24="Working - Special Holiday on RD",C24="Normal")),BQ24,0)</f>
        <v>0</v>
      </c>
      <c r="DF25" s="93" t="n">
        <f aca="false">IF(AND(C25="Working - Legal Holiday on a RD",OR(C24="Legal Holiday",C24="Special Holiday",C24="Working - Special Holiday on RD",C24="Normal")),BQ24,0)</f>
        <v>0</v>
      </c>
      <c r="DG25" s="93" t="n">
        <f aca="false">IF(AND(C25="Working - Special Holiday on RD",OR(C24="Legal Holiday",C24="Special Holiday",C24="Working - Legal Holiday on RD",C24="Normal")),BQ24,0)</f>
        <v>0</v>
      </c>
      <c r="DH25" s="93" t="n">
        <f aca="false">IF(OR(C26="Special Holiday",C26="Working - Legal Holiday on RD",C26="Working - Special Holiday on RD",C26="Legal Holiday",C26="Legal Holiday on RD",C26="Special Holiday on RD",),BO25,0)</f>
        <v>0</v>
      </c>
      <c r="DI25" s="93" t="n">
        <f aca="false">IF(AND(C25="Working - Rest Day",OR(C26="Special Holiday",C26="Working - Legal Holiday on RD",C26="Working - Special Holiday on RD",C26="Legal Holiday",C26="Legal Holiday on RD",C26="Special Holiday on RD",C26="Leave")),BO25,0)</f>
        <v>0</v>
      </c>
      <c r="DJ25" s="93" t="n">
        <f aca="false">IF(AND(C25="Legal Holiday",OR(C26="Special Holiday",C26="Legal Holiday on RD",C26="Special Holiday on RD",C26="Normal",C26="Rest Day",C26="Working - Legal Holiday on RD",C26="Working - Special Holiday on RD",C26="Working - Rest Day",C26="Leave")),BO25,0)</f>
        <v>0</v>
      </c>
      <c r="DK25" s="93" t="n">
        <f aca="false">IF(AND(C25="Special Holiday",OR(C26="Legal Holiday",C26="Working - Legal Holiday on RD",C26="Working - Special Holiday on RD",C26="Normal",C26="Rest Day",C26="Legal Holiday on RD",C26="Special Holiday on RD",C26="Working - Rest Day",C26="Leave")),BO25,0)</f>
        <v>0</v>
      </c>
      <c r="DL25" s="93" t="n">
        <f aca="false">IF(AND(C25="Working - Legal Holiday on RD",OR(C26="Legal Holiday",C26="Special Holiday",C26="Working - Special Holiday on RD",C26="Normal",C26="Rest Day",C26="Special Holiday on RD",C26="Working - Rest Day",C26="Leave")),BO25,0)</f>
        <v>0</v>
      </c>
      <c r="DM25" s="93" t="n">
        <f aca="false">IF(AND(C25="Working - Special Holiday on RD",OR(C26="Legal Holiday",C26="Special Holiday",C26="Working - Legal Holiday on RD",C26="Normal",C26="Rest Day",C26="Leave",C26="Legal Holiday on RD")),BO25,0)</f>
        <v>0</v>
      </c>
      <c r="DN25" s="93" t="n">
        <f aca="false">IF(OR(C24="Special Holiday",C24="Working - Legal Holiday on RD",C24="Working - Special Holiday on RD",C24="Legal Holiday"),BO24,0)</f>
        <v>0</v>
      </c>
      <c r="DO25" s="93" t="n">
        <f aca="false">IF(AND(C25="Working - Rest Day",OR(C24="Special Holiday",C24="Working - Legal Holiday on RD",C24="Working - Special Holiday on RD",C24="Normal",C24="Legal Holiday")),BO24,0)</f>
        <v>0</v>
      </c>
      <c r="DP25" s="93" t="n">
        <f aca="false">IF(AND(OR(C25="Legal Holiday",C25="Legal Holiday on a Rest Day"),OR(C24="Special Holiday",C24="Working - Legal Holiday on RD",C24="Working - Special Holiday on RD",C24="Normal")),BO24,0)</f>
        <v>0</v>
      </c>
      <c r="DQ25" s="93" t="n">
        <f aca="false">IF(AND(OR(C25="Special Holiday",C25="Special Holiday on RD"),OR(C24="Legal Holiday",C24="Working - Legal Holiday on RD",C24="Working - Special Holiday on RD",C24="Normal")),BO24,0)</f>
        <v>0</v>
      </c>
      <c r="DR25" s="93" t="n">
        <f aca="false">IF(AND(C25="Working - Legal Holiday on a RD",OR(C24="Legal Holiday",C24="Special Holiday",C24="Working - Special Holiday on RD",C24="Normal")),BO24,0)</f>
        <v>0</v>
      </c>
      <c r="DS25" s="93" t="n">
        <f aca="false">IF(AND(C25="Working - Special Holiday on RD",OR(C24="Legal Holiday",C24="Special Holiday",C24="Working - Legal Holiday on RD",C24="Normal")),BO24,0)</f>
        <v>0</v>
      </c>
    </row>
    <row r="26" s="6" customFormat="true" ht="14.25" hidden="false" customHeight="true" outlineLevel="0" collapsed="false">
      <c r="A26" s="79" t="n">
        <v>46201</v>
      </c>
      <c r="B26" s="80" t="str">
        <f aca="false">TEXT(WEEKDAY(A26),"ddd")</f>
        <v>Sun</v>
      </c>
      <c r="C26" s="81" t="s">
        <v>19</v>
      </c>
      <c r="D26" s="82"/>
      <c r="E26" s="79"/>
      <c r="F26" s="82"/>
      <c r="G26" s="82"/>
      <c r="H26" s="82"/>
      <c r="I26" s="83" t="n">
        <f aca="false">IFERROR(IF(N26="Strict",IF(C26="Normal",IFERROR(IF((HOUR(IF(AQ26&lt;=AR26,BB26-AR26,BB26-AQ26))+MINUTE(IF(AQ26&lt;=AR26,BB26-AR26,BB26-AQ26))/60)&gt;=6,HOUR(IF(AQ26&lt;=AR26,BB26-AR26,BB26-AQ26))+MINUTE(IF(AQ26&lt;=AR26,BB26-AR26,BB26-AQ26))/60-1,HOUR(IF(AQ26&lt;=AR26,BB26-AR26,BB26-AQ26))+MINUTE(IF(AQ26&lt;=AR26,BB26-AR26,BB26-AQ26))/60),0),0),IF(N26="Flexi",IF(C26="Normal",IF((HOUR(BB26-AR26)+MINUTE(BB26-AR26)/60)&gt;=6,(HOUR(BB26-AR26)+MINUTE(BB26-AR26)/60)-1,(HOUR(BB26-AR26)+MINUTE(BB26-AR26)/60)),0),0)),0)</f>
        <v>0</v>
      </c>
      <c r="J26" s="96"/>
      <c r="K26" s="79"/>
      <c r="L26" s="82"/>
      <c r="M26" s="79"/>
      <c r="N26" s="79"/>
      <c r="O26" s="85"/>
      <c r="P26" s="79"/>
      <c r="Q26" s="95"/>
      <c r="R26" s="87" t="n">
        <f aca="false">IF(AND(C26="Normal",I26&gt;0),(8-S26),0)-IF(AND(C26="Normal",OR(C27="Special Holiday",C27="Working - Legal Holiday on RD",C27="Working - Special Holiday on RD",C27="Legal Holiday",C27="Legal Holiday on RD",C27="Special Holiday on RD")),BN26,0)+IF(AND(OR(C26="Normal",C26="Leave",C26="Rest Day"),OR(C25="Special Holiday",C25="Working - Legal Holiday on RD",C25="Working - Special Holiday on RD",C25="Legal Holiday")),BN25,0)</f>
        <v>0</v>
      </c>
      <c r="S26" s="87" t="n">
        <f aca="false">IF(C26="Normal",IF(P26="Remain Lates",(IFERROR(IF(N26="Strict",IF(C26="Normal",IF(AQ26&lt;=AR26,HOUR(AR26-AQ26)+(MINUTE(AR26-AQ26)/60),0)+IF(BB26&lt;=BC26,HOUR(BC26-BB26)+(MINUTE(BC26-BB26)/60),0),0),IF(I26=0,0,(8-I26))),0)-(O26/60)),IF((O26/60)&gt;=IFERROR(IF(N26="Strict",IF(C26="Normal",IF(AQ26&lt;=AR26,HOUR(AR26-AQ26)+(MINUTE(AR26-AQ26)/60),0)+IF(BB26&lt;=BC26,HOUR(BC26-BB26)+(MINUTE(BC26-BB26)/60),0),0),IF(I26=0,0,(8-I26))),0),0,IFERROR(IF(N26="Strict",IF(C26="Normal",IF(AQ26&lt;=AR26,HOUR(AR26-AQ26)+(MINUTE(AR26-AQ26)/60),0)+IF(BB26&lt;=BC26,HOUR(BC26-BB26)+(MINUTE(BC26-BB26)/60),0),0),IF(I26=0,0,(8-I26))),0))),0)</f>
        <v>0</v>
      </c>
      <c r="T26" s="88" t="n">
        <f aca="false">IF(AND(C26="Working - Rest Day",BW26&gt;0),(8-IF(BV26&gt;6,BV26-1,BV26)),0)-IF(AND(C26="Working - Rest Day",OR(C27="Special Holiday",C27="Working - Legal Holiday on RD",C27="Working - Special Holiday on RD",C27="Legal Holiday",C27="Legal Holiday on RD",C27="Special Holiday on RD")),BN26,0)+IF(AND(C26="Working - Rest Day",OR(C25="Special Holiday",C25="Working - Legal Holiday on RD",C25="Working - Special Holiday on RD",C25="Legal Holiday")),BN25,0)</f>
        <v>0</v>
      </c>
      <c r="U26" s="88" t="n">
        <f aca="false">IF(AND(C26="Legal Holiday",BW26&gt;0),(8-IF(BV26&gt;6,BV26-1,BV26)),0)-IF(AND(C26="Legal Holiday",OR(C27="Special Holiday",C27="Legal Holiday on RD",C27="Special Holiday on RD",C27="Normal",C27="Rest Day",C27="Working - Legal Holiday on RD",C27="Working - Special Holiday on RD",C27="Working - Rest Day",C27="Leave")),BN26,0)+IF(AND(OR(C26="Legal Holiday",C26="Legal Holiday on RD"),OR(C25="Special Holiday",C25="Working - Legal Holiday on RD",C25="Working - Special Holiday on RD",C25="Normal",C25="Working - Rest Day")),BN25,0)</f>
        <v>0</v>
      </c>
      <c r="V26" s="88" t="n">
        <f aca="false">IF(AND(C26="Special Holiday",BW26&gt;0),(8-IF(BV26&gt;6,BV26-1,BV26)),0)-IF(AND(C26="Special Holiday",OR(C27="Legal Holiday",C27="Working - Legal Holiday on RD",C27="Working - Special Holiday on RD",C27="Normal",C27="Rest Day",C27="Legal Holiday on RD",C27="Special Holiday on RD",C27="Working - Rest Day",C27="Leave")),BN26,0)+IF(AND(OR(C26="Special Holiday",C26="Special Holiday on RD"),OR(C25="Legal Holiday",C25="Working - Legal Holiday on RD",C25="Working - Special Holiday on RD",C25="Working - Rest Day",C25="Normal")),BN25,0)</f>
        <v>0</v>
      </c>
      <c r="W26" s="88" t="n">
        <f aca="false">IF(AND(C26="Working - Legal Holiday on RD",BW26&gt;0),(8-IF(BV26&gt;6,BV26-1,BV26)),0)-IF(AND(C26="Working - Legal Holiday on RD",OR(C27="Legal Holiday",C27="Special Holiday",C27="Working - Special Holiday on RD",C27="Normal",C27="Rest Day",C27="Special Holiday on RD",C27="Working - Rest Day",C27="Leave")),BN26,0)+IF(AND(C26="Working - Legal Holiday on RD",OR(C25="Legal Holiday",C25="Special Holiday",C25="Working - Special Holiday on RD",C25="Working - Rest Day",C25="Normal")),BN25,0)</f>
        <v>0</v>
      </c>
      <c r="X26" s="88" t="n">
        <f aca="false">IF(AND(C26="Working - Special Holiday on RD",BW26&gt;0),(8-IF(BV26&gt;6,BV26-1,BV26)),0)-IF(AND(C26="Working - Special Holiday on RD",OR(C27="Legal Holiday",C27="Special Holiday",C27="Working - Legal Holiday on RD",C27="Normal",C27="Rest Day",C27="Leave",C27="Working - Rest Day",C27="Legal Holiday on RD")),BN26,0)+IF(AND(C26="Working - Special Holiday on RD",OR(C25="Legal Holiday",C25="Special Holiday",C25="Working - Legal Holiday on RD",C25="Normal",C25="Working - Rest Day")),BN25,0)</f>
        <v>0</v>
      </c>
      <c r="Y26" s="88" t="n">
        <f aca="false">IFERROR(IF(C26="Normal",HOUR(AY26-AV26)+MINUTE(AY26-AV26)/60,0),0)-IFERROR(IF(C26="Normal",HOUR(BA26-AX26)+MINUTE(BA26-AX26)/60,0),0)-IF(AND(C26="Normal",OR(C27="Special Holiday",C27="Working - Legal Holiday on RD",C27="Working - Special Holiday on RD",C27="Legal Holiday",C27="Legal Holiday on RD",C27="Special Holiday on RD")),BP26,0)+IF(AND(OR(C26="Normal",C26="Rest Day",C26="Leave"),OR(C25="Special Holiday",C25="Working - Legal Holiday on RD",C25="Working - Special Holiday on RD",C25="Legal Holiday")),BP25,0)</f>
        <v>0</v>
      </c>
      <c r="Z26" s="88" t="n">
        <f aca="false">IFERROR(IF(C26="Working - Rest Day",HOUR(AY26-AV26)+MINUTE(AY26-AV26)/60,0),0)-IFERROR(IF(C26="Working - Rest Day",HOUR(BA26-AX26)+MINUTE(BA26-AX26)/60,0),0)-IF(AND(C26="Working - Rest Day",OR(C27="Special Holiday",C27="Working - Legal Holiday on RD",C27="Working - Special Holiday on RD",C27="Legal Holiday",C27="Legal Holiday on RD",C27="Special Holiday on RD")),BP26,0)+IF(AND(C26="Working - Rest Day",OR(C25="Special Holiday",C25="Working - Legal Holiday on RD",C25="Working - Special Holiday on RD",C25="Legal Holiday")),BP25,0)</f>
        <v>0</v>
      </c>
      <c r="AA26" s="88" t="n">
        <f aca="false">IFERROR(IF(C26="Legal Holiday",HOUR(AY26-AV26)+MINUTE(AY26-AV26)/60,0),0)-IFERROR(IF(C26="Legal Holiday",HOUR(BA26-AX26)+MINUTE(BA26-AX26)/60,0),0)-IF(AND(C26="Legal Holiday",OR(C27="Special Holiday",C27="Legal Holiday on RD",C27="Special Holiday on RD",C27="Normal",C27="Rest Day",C27="Working - Legal Holiday on RD",C27="Working - Special Holiday on RD",C27="Working - Rest Day",C27="Leave")),BP26,0)+IF(AND(OR(C26="Legal Holiday",C26="Legal Holiday on RD"),OR(C25="Special Holiday",C25="Working - Legal Holiday on RD",C25="Working - Special Holiday on RD",C25="Normal",C25="Working - Rest Day")),BP25,0)</f>
        <v>0</v>
      </c>
      <c r="AB26" s="88" t="n">
        <f aca="false">IFERROR(IF(C26="Special Holiday",HOUR(AY26-AV26)+MINUTE(AY26-AV26)/60,0),0)-IFERROR(IF(C26="Special Holiday",HOUR(BA26-AX26)+MINUTE(BA26-AX26)/60,0),0)-IF(AND(C26="Special Holiday",OR(C27="Legal Holiday",C27="Working - Legal Holiday on RD",C27="Working - Special Holiday on RD",C27="Normal",C27="Rest Day",C27="Legal Holiday on RD",C27="Special Holiday on RD",C27="Working - Rest Day",C27="Leave")),BP26,0)+IF(AND(OR(C26="Special Holiday",C26="Special Holiday on RD"),OR(C25="Legal Holiday",C25="Working - Legal Holiday on RD",C25="Working - Special Holiday on RD",C25="Normal",C25="Working - Rest Day")),BP25,0)</f>
        <v>0</v>
      </c>
      <c r="AC26" s="88" t="n">
        <f aca="false">IFERROR(IF(C26="Working - Legal Holiday on RD",HOUR(AY26-AV26)+MINUTE(AY26-AV26)/60,0),0)-IFERROR(IF(C26="Working - Legal Holiday on RD",HOUR(BA26-AX26)+MINUTE(BA26-AX26)/60,0),0)-IF(AND(C26="Working - Legal Holiday on RD",OR(C27="Legal Holiday",C27="Special Holiday",C27="Working - Special Holiday on RD",C27="Normal",C27="Rest Day",C27="Special Holiday on RD",C27="Working - Rest Day",C27="Leave")),BP26,0)+IF(AND(C26="Working - Legal Holiday on RD",OR(C25="Legal Holiday",C25="Special Holiday",C25="Working - Special Holiday on RD",C25="Normal",C25="Working - Rest Day")),BP25,0)</f>
        <v>0</v>
      </c>
      <c r="AD26" s="88" t="n">
        <f aca="false">IFERROR(IF(C26="Working - Special Holiday on RD",HOUR(AY26-AV26)+MINUTE(AY26-AV26)/60,0),0)-IFERROR(IF(C26="Working - Special Holiday on RD",HOUR(BA26-AX26)+MINUTE(BA26-AX26)/60,0),0)-IF(AND(C26="Working - Special Holiday on RD",OR(C27="Legal Holiday",C27="Special Holiday",C27="Working - Legal Holiday on RD",C27="Normal",C27="Rest Day",C27="Working - Rest Day",C27="Leave",C27="Legal Holiday on RD")),BP26,0)+IF(AND(C26="Working - Special Holiday on RD",OR(C25="Legal Holiday",C25="Special Holiday",C25="Working - Legal Holiday on RD",C25="Normal",C25="Working - Rest Day")),BP25,0)</f>
        <v>0</v>
      </c>
      <c r="AE26" s="88" t="n">
        <f aca="false">IFERROR(IF(C26="Normal",HOUR(BA26-AX26)+MINUTE(BA26-AX26)/60,0),0)-IF(AND(C26="Normal",OR(C27="Special Holiday",C27="Working - Legal Holiday on RD",C27="Working - Special Holiday on RD",C27="Legal Holiday",C27="Legal Holiday on RD",C27="Special Holiday on RD")),BQ26,0)+IF(AND(OR(C26="Normal",C26="Rest Day",C26="Leave"),OR(C25="Special Holiday",C25="Working - Legal Holiday on RD",C25="Working - Special Holiday on RD",C25="Legal Holiday")),BQ25,0)</f>
        <v>0</v>
      </c>
      <c r="AF26" s="88" t="n">
        <f aca="false">IFERROR(IF(C26="Working - Rest Day",HOUR(BA26-AX26)+MINUTE(BA26-AX26)/60,0),0)-IF(AND(C26="Working - Rest Day",OR(C27="Special Holiday",C27="Working - Legal Holiday on RD",C27="Working - Special Holiday on RD",C27="Legal Holiday",C27="Legal Holiday on RD",C27="Special Holiday on RD")),BQ26,0)+IF(AND(C26="Working - Rest Day",OR(C25="Special Holiday",C25="Working - Legal Holiday on RD",C25="Working - Special Holiday on RD",C25="Legal Holiday")),BQ25,0)</f>
        <v>0</v>
      </c>
      <c r="AG26" s="88" t="n">
        <f aca="false">IFERROR(IF(C26="Legal Holiday",HOUR(BA26-AX26)+MINUTE(BA26-AX26)/60,0),0)-IF(AND(C26="Legal Holiday",OR(C27="Special Holiday",C27="Legal Holiday on RD",C27="Special Holiday on RD",C27="Normal",C27="Rest Day",C27="Working - Legal Holiday on RD",C27="Working - Special Holiday on RD",C27="Working - Rest Day",C27="Leave")),BQ26,0)+IF(AND(OR(C26="Legal Holiday",C26="Legal Holiday on RD"),OR(C25="Special Holiday",C25="Working - Legal Holiday on RD",C25="Working - Special Holiday on RD",C25="Normal",C25="Working - Rest Day")),BQ25,0)</f>
        <v>0</v>
      </c>
      <c r="AH26" s="88" t="n">
        <f aca="false">IFERROR(IF(C26="Special Holiday",HOUR(BA26-AX26)+MINUTE(BA26-AX26)/60,0),0)-IF(AND(C26="Special Holiday",OR(C27="Legal Holiday",C27="Working - Legal Holiday on RD",C27="Working - Special Holiday on RD",C27="Normal",C27="Rest Day",C27="Legal Holiday on RD",C27="Special Holiday on RD",C27="Working - Rest Day",C27="Leave")),BQ26,0)+IF(AND(OR(C26="Special Holiday",C26="Special Holiday on RD"),OR(C25="Legal Holiday",C25="Working - Legal Holiday on RD",C25="Working - Special Holiday on RD",C25="Normal",C25="Working - Rest Day")),BQ25,0)</f>
        <v>0</v>
      </c>
      <c r="AI26" s="88" t="n">
        <f aca="false">IFERROR(IF(C26="Working - Legal Holiday on RD",HOUR(BA26-AX26)+MINUTE(BA26-AX26)/60,0),0)-IF(AND(C26="Working - Legal Holiday on RD",OR(C27="Legal Holiday",C27="Special Holiday",C27="Working - Special Holiday on RD",C27="Normal",C27="Rest Day",C27="Special Holiday on RD",C27="Working - Rest Day",C27="Leave")),BQ26,0)+IF(AND(C26="Working - Legal Holiday on RD",OR(C25="Legal Holiday",C25="Special Holiday",C25="Working - Special Holiday on RD",C25="Normal",C25="Working - Rest Day")),BQ25,0)</f>
        <v>0</v>
      </c>
      <c r="AJ26" s="88" t="n">
        <f aca="false">IFERROR(IF(C26="Working - Special Holiday on RD",HOUR(BA26-AX26)+MINUTE(BA26-AX26)/60,0),0)-IF(AND(C26="Working - Special Holiday on RD",OR(C27="Legal Holiday",C27="Special Holiday",C27="Working - Legal Holiday on RD",C27="Normal",C27="Rest Day",C27="Working - Rest Day",C27="Leave",C27="Legal Holiday on RD")),BQ26,0)+IF(AND(C26="Working - Special Holiday on RD",OR(C25="Legal Holiday",C25="Special Holiday",C25="Working - Legal Holiday on RD",C25="Normal",C25="Working - Rest Day")),BQ25,0)</f>
        <v>0</v>
      </c>
      <c r="AK26" s="88" t="n">
        <f aca="false">IFERROR(IF(C26="Normal",HOUR(BF26-AU26)+(MINUTE(BF26-AU26)/60),0),0)-IF(AND(C26="Normal",OR(C27="Special Holiday",C27="Working - Legal Holiday on RD",C27="Working - Special Holiday on RD",C27="Legal Holiday",C27="Legal Holiday on RD",C27="Special Holiday on RD")),BO26,0)+IF(AND(OR(C26="Normal",C26="Rest Day",C26="Leave"),OR(C25="Special Holiday",C25="Working - Legal Holiday on RD",C25="Working - Special Holiday on RD",C25="Legal Holiday")),BO25,0)</f>
        <v>0</v>
      </c>
      <c r="AL26" s="88" t="n">
        <f aca="false">IFERROR(IF(C26="Working - Rest Day",HOUR(BF26-AU26)+(MINUTE(BF26-AU26)/60),0),0)-IF(AND(C26="Working - Rest Day",OR(C27="Special Holiday",C27="Working - Legal Holiday on RD",C27="Working - Special Holiday on RD",C27="Legal Holiday",C27="Legal Holiday on RD",C27="Special Holiday on RD")),BO26,0)+IF(AND(C26="Working - Rest Day",OR(C25="Special Holiday",C25="Working - Legal Holiday on RD",C25="Working - Special Holiday on RD",C25="Legal Holiday")),BO25,0)</f>
        <v>0</v>
      </c>
      <c r="AM26" s="88" t="n">
        <f aca="false">IFERROR(IF(C26="Legal Holiday",HOUR(BF26-AU26)+(MINUTE(BF26-AU26)/60),0),0)-IF(AND(C26="Legal Holiday",OR(C27="Special Holiday",C27="Legal Holiday on RD",C27="Special Holiday on RD",C27="Normal",C27="Rest Day",C27="Working - Legal Holiday on RD",C27="Working - Special Holiday on RD",C27="Working - Rest Day",C27="Leave")),BO26,0)+IF(AND(OR(C26="Legal Holiday",C26="Legal Holiday on RD"),OR(C25="Special Holiday",C25="Working - Legal Holiday on RD",C25="Working - Special Holiday on RD",C25="Normal",C25="Working - Rest Day")),BO25,0)</f>
        <v>0</v>
      </c>
      <c r="AN26" s="88" t="n">
        <f aca="false">IFERROR(IF(C26="Special Holiday",HOUR(BF26-AU26)+(MINUTE(BF26-AU26)/60),0),0)-IF(AND(C26="Special Holiday",OR(C27="Legal Holiday",C27="Working - Legal Holiday on RD",C27="Working - Special Holiday on RD",C27="Normal",C27="Rest Day",C27="Legal Holiday on RD",C27="Special Holiday on RD",C27="Working - Rest Day",C27="Leave")),BO26,0)+IF(AND(OR(C26="Special Holiday",C26="Special Holiday on RD"),OR(C25="Legal Holiday",C25="Working - Legal Holiday on RD",C25="Working - Special Holiday on RD",C25="Normal",C25="Working - Rest Day")),BO25,0)</f>
        <v>0</v>
      </c>
      <c r="AO26" s="88" t="n">
        <f aca="false">IFERROR(IF(C26="Working - Legal Holiday on RD",HOUR(BF26-AU26)+(MINUTE(BF26-AU26)/60),0),0)-IF(AND(C26="Working - Legal Holiday on RD",OR(C27="Legal Holiday",C27="Special Holiday",C27="Working - Special Holiday on RD",C27="Normal",C27="Rest Day",C27="Special Holiday on RD",C27="Working - Rest Day",C27="Leave")),BO26,0)+IF(AND(C26="Working - Legal Holiday on RD",OR(C25="Legal Holiday",C25="Special Holiday",C25="Working - Special Holiday on RD",C25="Normal",C25="Working - Rest Day")),BO25,0)</f>
        <v>0</v>
      </c>
      <c r="AP26" s="88" t="n">
        <f aca="false">IFERROR(IF(C26="Working - Special Holiday on RD",HOUR(BF26-AU26)+(MINUTE(BF26-AU26)/60),0),0)-IF(AND(C26="Working - Special Holiday on RD",OR(C27="Legal Holiday",C27="Special Holiday",C27="Working - Legal Holiday on RD",C27="Normal",C27="Rest Day",C27="Working - Rest Day",C27="Leave",C27="Legal Holiday on RD")),BO26,0)+IF(AND(C26="Working - Special Holiday on RD",OR(C25="Legal Holiday",C25="Special Holiday",C25="Working - Legal Holiday on RD",C25="Normal",C25="Working - Rest Day")),BO25,0)</f>
        <v>0</v>
      </c>
      <c r="AQ26" s="89" t="str">
        <f aca="false">TEXT(D26,"HH:MM")&amp;" "&amp;TEXT(A26,"DD-mmm-YY")</f>
        <v>00:00 28-Jun-26</v>
      </c>
      <c r="AR26" s="89" t="str">
        <f aca="false">TEXT(G26,"HH:MM")&amp;" "&amp;TEXT(A26,"DD-mmm-YY")</f>
        <v>00:00 28-Jun-26</v>
      </c>
      <c r="AS26" s="60" t="str">
        <f aca="false">IF($AR$1&lt;D26,AR26,IF(AT26&lt;=AR26,AR26,AT26))</f>
        <v>22:00 27-Jun-26</v>
      </c>
      <c r="AT26" s="60" t="str">
        <f aca="false">IF(AND(D26&gt;=0,D26&lt;0.25),TEXT($AR$1,"HH:MM")&amp;" "&amp;TEXT((A26-1),"dd-mmm-yy"),TEXT($AR$1,"HH:MM")&amp;" "&amp;TEXT(A26,"dd-mmm-yy"))</f>
        <v>22:00 27-Jun-26</v>
      </c>
      <c r="AU26" s="40" t="e">
        <f aca="false" t="array" ref="AU26:AU26">MAX(AQ26:AS26+0)</f>
        <v>#VALUE!</v>
      </c>
      <c r="AV26" s="60" t="str">
        <f aca="false">TEXT(J26,"HH:MM")&amp;" "&amp;TEXT(K26,"DD-mmm-YY")</f>
        <v>00:00 00-Jan-00</v>
      </c>
      <c r="AW26" s="60" t="str">
        <f aca="false">IF(K26&lt;A26,TEXT($AR$1,"HH:MM")&amp;" "&amp;TEXT((A26-1),"dd-mmm-yy"),IF(AND(D26&gt;0,D26&lt;0.25,L26&lt;0.916666666666667,A26&lt;M26),TEXT($AR$1,"HH:MM")&amp;" "&amp;TEXT((A26-1),"dd-mmm-yy"),TEXT($AR$1,"HH:MM")&amp;" "&amp;TEXT(A26,"dd-mmm-yy")))</f>
        <v>22:00 27-Jun-26</v>
      </c>
      <c r="AX26" s="40" t="e">
        <f aca="false" t="array" ref="AX26:AX26">MAX(AV26:AW26+0)</f>
        <v>#VALUE!</v>
      </c>
      <c r="AY26" s="60" t="str">
        <f aca="false">TEXT(L26,"HH:MM")&amp;" "&amp;TEXT(M26,"DD-mmm-YY")</f>
        <v>00:00 00-Jan-00</v>
      </c>
      <c r="AZ26" s="60" t="str">
        <f aca="false">IF(AND(D26&gt;=0,D26&lt;0.25,L26&lt;0.916666666666667,A26&gt;M26),TEXT($AR$2,"HH:MM")&amp;" "&amp;TEXT(A26,"DD-mmm-YY"),TEXT($AR$2,"HH:MM")&amp;" "&amp;TEXT((A26+1),"DD-mmm-YY"))</f>
        <v>06:00 28-Jun-26</v>
      </c>
      <c r="BA26" s="40" t="e">
        <f aca="false" t="array" ref="BA26:BA26">MIN(AY26:AZ26+0)</f>
        <v>#VALUE!</v>
      </c>
      <c r="BB26" s="60" t="str">
        <f aca="false">IF(G26&gt;H26,TEXT(H26,"HH:MM")&amp;" "&amp;TEXT(E26,"DD-mmm-YY"),IF(H26&gt;1,TEXT(H26,"HH:MM")&amp;" "&amp;TEXT(E26,"DD-mmm-YY"),TEXT(H26,"HH:MM")&amp;" "&amp;TEXT(A26,"DD-mmm-YY")))</f>
        <v>00:00 28-Jun-26</v>
      </c>
      <c r="BC26" s="60" t="str">
        <f aca="false">IF(N26="Flexi",TEXT(G26+$BC$1,"HH:MM")&amp;" "&amp;TEXT(E26,"DD-mmm-YY"),TEXT(F26,"HH:MM")&amp;" "&amp;TEXT(E26,"DD-mmm-YY"))</f>
        <v>00:00 30-Dec-99</v>
      </c>
      <c r="BD26" s="90" t="e">
        <f aca="false" t="array" ref="BD26:BD26">MIN(BB26:BC26+0)</f>
        <v>#VALUE!</v>
      </c>
      <c r="BE26" s="60" t="str">
        <f aca="false">IF(D26&gt;0.25,TEXT($AR$2,"HH:MM")&amp;" "&amp;TEXT(IF(BG26&lt;H26,A26+1,E26),"DD-mmm-YY"),IF(D26&gt;=0,TEXT($AR$2,"HH:MM")&amp;" "&amp;TEXT(IF(BG26&lt;H26,A26+1,E26)-1,"DD-mmm-YY"),TEXT($AR$2,"HH:MM")&amp;" "&amp;TEXT(IF(BG26&lt;H26,A26+1,E26),"DD-mmm-YY")))</f>
        <v>06:00 29-Dec-99</v>
      </c>
      <c r="BF26" s="40" t="e">
        <f aca="false" t="array" ref="BF26:BF26">IF(N26="Flexi",IF(AND(BB26&gt;BC26,BB26&lt;BE26),BB26,MIN(BB26:BE26+0)),MIN(BB26:BE26+0))</f>
        <v>#VALUE!</v>
      </c>
      <c r="BG26" s="7" t="n">
        <v>0</v>
      </c>
      <c r="BH26" s="9" t="str">
        <f aca="false">TEXT(BG26,"HH:MM")&amp;" "&amp;TEXT(A26+1,"DD-mmm-YY")</f>
        <v>00:00 29-Jun-26</v>
      </c>
      <c r="BI26" s="9" t="str">
        <f aca="false">AV26</f>
        <v>00:00 00-Jan-00</v>
      </c>
      <c r="BJ26" s="91" t="e">
        <f aca="false" t="array" ref="BJ26:BJ26">MAX(BH26:BI26+0)</f>
        <v>#VALUE!</v>
      </c>
      <c r="BK26" s="9" t="str">
        <f aca="false">TEXT($AR$2,"HH:MM")&amp;" "&amp;TEXT(A26+1,"DD-mmm-YY")</f>
        <v>06:00 29-Jun-26</v>
      </c>
      <c r="BL26" s="9" t="str">
        <f aca="false">AY26</f>
        <v>00:00 00-Jan-00</v>
      </c>
      <c r="BM26" s="91" t="e">
        <f aca="false" t="array" ref="BM26:BM26">MIN(BK26:BL26+0)</f>
        <v>#VALUE!</v>
      </c>
      <c r="BN26" s="13" t="n">
        <f aca="false">IF(IFERROR(IF(E26&gt;A26,IF(BD26&gt;=BD26,HOUR(BD26-BH26)+MINUTE(BD26-BH26)/60,0),0),0)&gt;5,(IFERROR(IF(E26&gt;A26,IF(BD26&gt;=BD26,HOUR(BD26-BH26)+MINUTE(BD26-BH26)/60,0),0),0)-1),IFERROR(IF(E26&gt;A26,IF(BD26&gt;=BD26,HOUR(BD26-BH26)+MINUTE(BD26-BH26)/60,0),0),0))</f>
        <v>0</v>
      </c>
      <c r="BO26" s="13" t="n">
        <f aca="false">IFERROR(IF(E26&gt;A26,HOUR(BF26-BH26)+MINUTE(BF26-BH26)/60,0),0)</f>
        <v>0</v>
      </c>
      <c r="BP26" s="92" t="n">
        <f aca="false">IF(AND(A26&lt;M26,L26&gt;0.25,L26&lt;=0.916666666666667,J26&gt;=0.25),IFERROR(HOUR(AY26-AV26)+MINUTE(AY26-AV26)/60,0),IFERROR(HOUR(AY26-BK26)+MINUTE(AY26-BK26)/60,0))</f>
        <v>0</v>
      </c>
      <c r="BQ26" s="13" t="n">
        <f aca="false">IFERROR(HOUR(BM26-BJ26)+MINUTE(BM26-BJ26)/60,0)</f>
        <v>0</v>
      </c>
      <c r="BR26" s="13" t="n">
        <f aca="false">IF(AND(C26=C26,BW26&gt;0),(8-BV26),0)-BN26</f>
        <v>0</v>
      </c>
      <c r="BS26" s="13" t="n">
        <f aca="false">IFERROR(IF(C26=C26,HOUR(BF26-AU26)+(MINUTE(BF26-AU26)/60),0),0)-BO26</f>
        <v>0</v>
      </c>
      <c r="BT26" s="92" t="n">
        <f aca="false">IFERROR(IF(C26=C26,HOUR(AY26-AV26)+MINUTE(AY26-AV26)/60,0),0)-IFERROR(IF(C26=C26,HOUR(BA26-AX26)+MINUTE(BA26-AX26)/60,0),0)-BP26</f>
        <v>0</v>
      </c>
      <c r="BU26" s="13" t="n">
        <f aca="false">IFERROR(IF(C26=C26,HOUR(BA26-AX26)+MINUTE(BA26-AX26)/60,0),0)-BQ26</f>
        <v>0</v>
      </c>
      <c r="BV26" s="13" t="n">
        <f aca="false">IF(C26=C26,IF(P26="Remain Lates",(IFERROR(IF(N26="Strict",IF(C26=C26,IF(AQ26&lt;=AR26,HOUR(AR26-AQ26)+(MINUTE(AR26-AQ26)/60),0)+IF(BB26&lt;=BC26,HOUR(BC26-BB26)+(MINUTE(BC26-BB26)/60),0),0),IF(BW26=0,0,(8-BW26))),0)-(O26/60)),IF((O26/60)&gt;=IFERROR(IF(N26="Strict",IF(C26=C26,IF(AQ26&lt;=AR26,HOUR(AR26-AQ26)+(MINUTE(AR26-AQ26)/60),0)+IF(BB26&lt;=BC26,HOUR(BC26-BB26)+(MINUTE(BC26-BB26)/60),0),0),IF(BW26=0,0,(8-BW26))),0),0,IFERROR(IF(N26="Strict",IF(C26=C26,IF(AQ26&lt;=AR26,HOUR(AR26-AQ26)+(MINUTE(AR26-AQ26)/60),0)+IF(BB26&lt;=BC26,HOUR(BC26-BB26)+(MINUTE(BC26-BB26)/60),0),0),IF(BW26=0,0,(8-BW26))),0))),0)</f>
        <v>0</v>
      </c>
      <c r="BW26" s="13" t="n">
        <f aca="false">IFERROR(IF(N26="Strict",IF(C26=C26,IFERROR(IF((HOUR(IF(AQ26&lt;=AR26,BB26-AR26,BB26-AQ26))+MINUTE(IF(AQ26&lt;=AR26,BB26-AR26,BB26-AQ26))/60)&gt;=6,HOUR(IF(AQ26&lt;=AR26,BB26-AR26,BB26-AQ26))+MINUTE(IF(AQ26&lt;=AR26,BB26-AR26,BB26-AQ26))/60-1,HOUR(IF(AQ26&lt;=AR26,BB26-AR26,BB26-AQ26))+MINUTE(IF(AQ26&lt;=AR26,BB26-AR26,BB26-AQ26))/60),0),0),IF(N26="Flexi",IF(C26=C26,IF((HOUR(BB26-AR26)+MINUTE(BB26-AR26)/60)&gt;=6,(HOUR(BB26-AR26)+MINUTE(BB26-AR26)/60)-1,(HOUR(BB26-AR26)+MINUTE(BB26-AR26)/60)),0),0)),0)</f>
        <v>0</v>
      </c>
      <c r="BX26" s="93" t="n">
        <f aca="false">IF(OR(C27="Special Holiday",C27="Working - Legal Holiday on RD",C27="Working - Special Holiday on RD",C27="Legal Holiday",C27="Legal Holiday on RD",C27="Special Holiday on RD",),BN26,0)</f>
        <v>0</v>
      </c>
      <c r="BY26" s="93" t="n">
        <f aca="false">IF(AND(C26="Working - Rest Day",OR(C27="Special Holiday",C27="Working - Legal Holiday on RD",C27="Working - Special Holiday on RD",C27="Legal Holiday",C27="Legal Holiday on RD",C27="Special Holiday on RD",C27="Leave")),BN26,0)</f>
        <v>0</v>
      </c>
      <c r="BZ26" s="93" t="n">
        <f aca="false">IF(AND(C26="Legal Holiday",OR(C27="Special Holiday",C27="Legal Holiday on RD",C27="Special Holiday on RD",C27="Normal",C27="Rest Day",C27="Working - Legal Holiday on RD",C27="Working - Special Holiday on RD",C27="Working - Rest Day",C27="Leave")),BN26,0)</f>
        <v>0</v>
      </c>
      <c r="CA26" s="93" t="n">
        <f aca="false">IF(AND(C26="Special Holiday",OR(C27="Legal Holiday",C27="Working - Legal Holiday on RD",C27="Working - Special Holiday on RD",C27="Normal",C27="Rest Day",C27="Legal Holiday on RD",C27="Special Holiday on RD",C27="Working - Rest Day",C27="Leave")),BN26,0)</f>
        <v>0</v>
      </c>
      <c r="CB26" s="93" t="n">
        <f aca="false">IF(AND(C26="Working - Legal Holiday on RD",OR(C27="Legal Holiday",C27="Special Holiday",C27="Working - Special Holiday on RD",C27="Normal",C27="Rest Day",C27="Special Holiday on RD",C27="Working - Rest Day",C27="Leave")),BN26,0)</f>
        <v>0</v>
      </c>
      <c r="CC26" s="93" t="n">
        <f aca="false">IF(AND(C26="Working - Special Holiday on RD",OR(C27="Legal Holiday",C27="Special Holiday",C27="Working - Legal Holiday on RD",C27="Normal",C27="Rest Day",C27="Leave",C27="Legal Holiday on RD")),BN26,0)</f>
        <v>0</v>
      </c>
      <c r="CD26" s="93" t="n">
        <f aca="false">IF(OR(C25="Special Holiday",C25="Working - Legal Holiday on RD",C25="Working - Special Holiday on RD",C25="Legal Holiday"),BN25,0)</f>
        <v>0</v>
      </c>
      <c r="CE26" s="93" t="n">
        <f aca="false">IF(AND(C26="Working - Rest Day",OR(C25="Special Holiday",C25="Working - Legal Holiday on RD",C25="Working - Special Holiday on RD",C25="Normal",C25="Legal Holiday")),BN25,0)</f>
        <v>0</v>
      </c>
      <c r="CF26" s="93" t="n">
        <f aca="false">IF(AND(OR(C26="Legal Holiday",C26="Legal Holiday on a Rest Day"),OR(C25="Special Holiday",C25="Working - Legal Holiday on RD",C25="Working - Special Holiday on RD",C25="Normal")),BN25,0)</f>
        <v>0</v>
      </c>
      <c r="CG26" s="93" t="n">
        <f aca="false">IF(AND(OR(C26="Special Holiday",C26="Special Holiday on RD"),OR(C25="Legal Holiday",C25="Working - Legal Holiday on RD",C25="Working - Special Holiday on RD",C25="Normal")),BN25,0)</f>
        <v>0</v>
      </c>
      <c r="CH26" s="93" t="n">
        <f aca="false">IF(AND(C26="Working - Legal Holiday on a RD",OR(C25="Legal Holiday",C25="Special Holiday",C25="Working - Special Holiday on RD",C25="Normal")),BN25,0)</f>
        <v>0</v>
      </c>
      <c r="CI26" s="93" t="n">
        <f aca="false">IF(AND(C26="Working - Special Holiday on RD",OR(C25="Legal Holiday",C25="Special Holiday",C25="Working - Legal Holiday on RD",C25="Normal")),BN25,0)</f>
        <v>0</v>
      </c>
      <c r="CJ26" s="93" t="n">
        <f aca="false">IF(OR(C27="Special Holiday",C27="Working - Legal Holiday on RD",C27="Working - Special Holiday on RD",C27="Legal Holiday",C27="Legal Holiday on RD",C27="Special Holiday on RD",),BP26,0)</f>
        <v>0</v>
      </c>
      <c r="CK26" s="93" t="n">
        <f aca="false">IF(AND(C26="Working - Rest Day",OR(C27="Special Holiday",C27="Working - Legal Holiday on RD",C27="Working - Special Holiday on RD",C27="Legal Holiday",C27="Legal Holiday on RD",C27="Special Holiday on RD",C27="Leave")),BP26,0)</f>
        <v>0</v>
      </c>
      <c r="CL26" s="93" t="n">
        <f aca="false">IF(AND(C26="Legal Holiday",OR(C27="Special Holiday",C27="Legal Holiday on RD",C27="Special Holiday on RD",C27="Normal",C27="Rest Day",C27="Working - Legal Holiday on RD",C27="Working - Special Holiday on RD",C27="Working - Rest Day",C27="Leave")),BP26,0)</f>
        <v>0</v>
      </c>
      <c r="CM26" s="93" t="n">
        <f aca="false">IF(AND(C26="Special Holiday",OR(C27="Legal Holiday",C27="Working - Legal Holiday on RD",C27="Working - Special Holiday on RD",C27="Normal",C27="Rest Day",C27="Legal Holiday on RD",C27="Special Holiday on RD",C27="Working - Rest Day",C27="Leave")),BP26,0)</f>
        <v>0</v>
      </c>
      <c r="CN26" s="93" t="n">
        <f aca="false">IF(AND(C26="Working - Legal Holiday on RD",OR(C27="Legal Holiday",C27="Special Holiday",C27="Working - Special Holiday on RD",C27="Normal",C27="Rest Day",C27="Special Holiday on RD",C27="Working - Rest Day",C27="Leave")),BP26,0)</f>
        <v>0</v>
      </c>
      <c r="CO26" s="93" t="n">
        <f aca="false">IF(AND(C26="Working - Special Holiday on RD",OR(C27="Legal Holiday",C27="Special Holiday",C27="Working - Legal Holiday on RD",C27="Normal",C27="Rest Day",C27="Leave",C27="Legal Holiday on RD")),BP26,0)</f>
        <v>0</v>
      </c>
      <c r="CP26" s="93" t="n">
        <f aca="false">IF(OR(C25="Special Holiday",C25="Working - Legal Holiday on RD",C25="Working - Special Holiday on RD",C25="Legal Holiday"),BP25,0)</f>
        <v>0</v>
      </c>
      <c r="CQ26" s="93" t="n">
        <f aca="false">IF(AND(C26="Working - Rest Day",OR(C25="Special Holiday",C25="Working - Legal Holiday on RD",C25="Working - Special Holiday on RD",C25="Normal",C25="Legal Holiday")),BP25,0)</f>
        <v>0</v>
      </c>
      <c r="CR26" s="93" t="n">
        <f aca="false">IF(AND(OR(C26="Legal Holiday",C26="Legal Holiday on a Rest Day"),OR(C25="Special Holiday",C25="Working - Legal Holiday on RD",C25="Working - Special Holiday on RD",C25="Normal")),BP25,0)</f>
        <v>0</v>
      </c>
      <c r="CS26" s="93" t="n">
        <f aca="false">IF(AND(OR(C26="Special Holiday",C26="Special Holiday on RD"),OR(C25="Legal Holiday",C25="Working - Legal Holiday on RD",C25="Working - Special Holiday on RD",C25="Normal")),BP25,0)</f>
        <v>0</v>
      </c>
      <c r="CT26" s="93" t="n">
        <f aca="false">IF(AND(C26="Working - Legal Holiday on a RD",OR(C25="Legal Holiday",C25="Special Holiday",C25="Working - Special Holiday on RD",C25="Normal")),BP25,0)</f>
        <v>0</v>
      </c>
      <c r="CU26" s="93" t="n">
        <f aca="false">IF(AND(C26="Working - Special Holiday on RD",OR(C25="Legal Holiday",C25="Special Holiday",C25="Working - Legal Holiday on RD",C25="Normal")),BP25,0)</f>
        <v>0</v>
      </c>
      <c r="CV26" s="93" t="n">
        <f aca="false">IF(OR(C27="Special Holiday",C27="Working - Legal Holiday on RD",C27="Working - Special Holiday on RD",C27="Legal Holiday",C27="Legal Holiday on RD",C27="Special Holiday on RD",),BQ26,0)</f>
        <v>0</v>
      </c>
      <c r="CW26" s="93" t="n">
        <f aca="false">IF(AND(C26="Working - Rest Day",OR(C27="Special Holiday",C27="Working - Legal Holiday on RD",C27="Working - Special Holiday on RD",C27="Legal Holiday",C27="Legal Holiday on RD",C27="Special Holiday on RD",C27="Leave")),BQ26,0)</f>
        <v>0</v>
      </c>
      <c r="CX26" s="93" t="n">
        <f aca="false">IF(AND(C26="Legal Holiday",OR(C27="Special Holiday",C27="Legal Holiday on RD",C27="Special Holiday on RD",C27="Normal",C27="Rest Day",C27="Working - Legal Holiday on RD",C27="Working - Special Holiday on RD",C27="Working - Rest Day",C27="Leave")),BQ26,0)</f>
        <v>0</v>
      </c>
      <c r="CY26" s="93" t="n">
        <f aca="false">IF(AND(C26="Special Holiday",OR(C27="Legal Holiday",C27="Working - Legal Holiday on RD",C27="Working - Special Holiday on RD",C27="Normal",C27="Rest Day",C27="Legal Holiday on RD",C27="Special Holiday on RD",C27="Working - Rest Day",C27="Leave")),BQ26,0)</f>
        <v>0</v>
      </c>
      <c r="CZ26" s="93" t="n">
        <f aca="false">IF(AND(C26="Working - Legal Holiday on RD",OR(C27="Legal Holiday",C27="Special Holiday",C27="Working - Special Holiday on RD",C27="Normal",C27="Rest Day",C27="Special Holiday on RD",C27="Working - Rest Day",C27="Leave")),BQ26,0)</f>
        <v>0</v>
      </c>
      <c r="DA26" s="93" t="n">
        <f aca="false">IF(AND(C26="Working - Special Holiday on RD",OR(C27="Legal Holiday",C27="Special Holiday",C27="Working - Legal Holiday on RD",C27="Normal",C27="Rest Day",C27="Leave",C27="Legal Holiday on RD")),BQ26,0)</f>
        <v>0</v>
      </c>
      <c r="DB26" s="93" t="n">
        <f aca="false">IF(OR(C25="Special Holiday",C25="Working - Legal Holiday on RD",C25="Working - Special Holiday on RD",C25="Legal Holiday"),BQ25,0)</f>
        <v>0</v>
      </c>
      <c r="DC26" s="93" t="n">
        <f aca="false">IF(AND(C26="Working - Rest Day",OR(C25="Special Holiday",C25="Working - Legal Holiday on RD",C25="Working - Special Holiday on RD",C25="Normal",C25="Legal Holiday")),BQ25,0)</f>
        <v>0</v>
      </c>
      <c r="DD26" s="93" t="n">
        <f aca="false">IF(AND(OR(C26="Legal Holiday",C26="Legal Holiday on a Rest Day"),OR(C25="Special Holiday",C25="Working - Legal Holiday on RD",C25="Working - Special Holiday on RD",C25="Normal")),BQ25,0)</f>
        <v>0</v>
      </c>
      <c r="DE26" s="93" t="n">
        <f aca="false">IF(AND(OR(C26="Special Holiday",C26="Special Holiday on RD"),OR(C25="Legal Holiday",C25="Working - Legal Holiday on RD",C25="Working - Special Holiday on RD",C25="Normal")),BQ25,0)</f>
        <v>0</v>
      </c>
      <c r="DF26" s="93" t="n">
        <f aca="false">IF(AND(C26="Working - Legal Holiday on a RD",OR(C25="Legal Holiday",C25="Special Holiday",C25="Working - Special Holiday on RD",C25="Normal")),BQ25,0)</f>
        <v>0</v>
      </c>
      <c r="DG26" s="93" t="n">
        <f aca="false">IF(AND(C26="Working - Special Holiday on RD",OR(C25="Legal Holiday",C25="Special Holiday",C25="Working - Legal Holiday on RD",C25="Normal")),BQ25,0)</f>
        <v>0</v>
      </c>
      <c r="DH26" s="93" t="n">
        <f aca="false">IF(OR(C27="Special Holiday",C27="Working - Legal Holiday on RD",C27="Working - Special Holiday on RD",C27="Legal Holiday",C27="Legal Holiday on RD",C27="Special Holiday on RD",),BO26,0)</f>
        <v>0</v>
      </c>
      <c r="DI26" s="93" t="n">
        <f aca="false">IF(AND(C26="Working - Rest Day",OR(C27="Special Holiday",C27="Working - Legal Holiday on RD",C27="Working - Special Holiday on RD",C27="Legal Holiday",C27="Legal Holiday on RD",C27="Special Holiday on RD",C27="Leave")),BO26,0)</f>
        <v>0</v>
      </c>
      <c r="DJ26" s="93" t="n">
        <f aca="false">IF(AND(C26="Legal Holiday",OR(C27="Special Holiday",C27="Legal Holiday on RD",C27="Special Holiday on RD",C27="Normal",C27="Rest Day",C27="Working - Legal Holiday on RD",C27="Working - Special Holiday on RD",C27="Working - Rest Day",C27="Leave")),BO26,0)</f>
        <v>0</v>
      </c>
      <c r="DK26" s="93" t="n">
        <f aca="false">IF(AND(C26="Special Holiday",OR(C27="Legal Holiday",C27="Working - Legal Holiday on RD",C27="Working - Special Holiday on RD",C27="Normal",C27="Rest Day",C27="Legal Holiday on RD",C27="Special Holiday on RD",C27="Working - Rest Day",C27="Leave")),BO26,0)</f>
        <v>0</v>
      </c>
      <c r="DL26" s="93" t="n">
        <f aca="false">IF(AND(C26="Working - Legal Holiday on RD",OR(C27="Legal Holiday",C27="Special Holiday",C27="Working - Special Holiday on RD",C27="Normal",C27="Rest Day",C27="Special Holiday on RD",C27="Working - Rest Day",C27="Leave")),BO26,0)</f>
        <v>0</v>
      </c>
      <c r="DM26" s="93" t="n">
        <f aca="false">IF(AND(C26="Working - Special Holiday on RD",OR(C27="Legal Holiday",C27="Special Holiday",C27="Working - Legal Holiday on RD",C27="Normal",C27="Rest Day",C27="Leave",C27="Legal Holiday on RD")),BO26,0)</f>
        <v>0</v>
      </c>
      <c r="DN26" s="93" t="n">
        <f aca="false">IF(OR(C25="Special Holiday",C25="Working - Legal Holiday on RD",C25="Working - Special Holiday on RD",C25="Legal Holiday"),BO25,0)</f>
        <v>0</v>
      </c>
      <c r="DO26" s="93" t="n">
        <f aca="false">IF(AND(C26="Working - Rest Day",OR(C25="Special Holiday",C25="Working - Legal Holiday on RD",C25="Working - Special Holiday on RD",C25="Normal",C25="Legal Holiday")),BO25,0)</f>
        <v>0</v>
      </c>
      <c r="DP26" s="93" t="n">
        <f aca="false">IF(AND(OR(C26="Legal Holiday",C26="Legal Holiday on a Rest Day"),OR(C25="Special Holiday",C25="Working - Legal Holiday on RD",C25="Working - Special Holiday on RD",C25="Normal")),BO25,0)</f>
        <v>0</v>
      </c>
      <c r="DQ26" s="93" t="n">
        <f aca="false">IF(AND(OR(C26="Special Holiday",C26="Special Holiday on RD"),OR(C25="Legal Holiday",C25="Working - Legal Holiday on RD",C25="Working - Special Holiday on RD",C25="Normal")),BO25,0)</f>
        <v>0</v>
      </c>
      <c r="DR26" s="93" t="n">
        <f aca="false">IF(AND(C26="Working - Legal Holiday on a RD",OR(C25="Legal Holiday",C25="Special Holiday",C25="Working - Special Holiday on RD",C25="Normal")),BO25,0)</f>
        <v>0</v>
      </c>
      <c r="DS26" s="93" t="n">
        <f aca="false">IF(AND(C26="Working - Special Holiday on RD",OR(C25="Legal Holiday",C25="Special Holiday",C25="Working - Legal Holiday on RD",C25="Normal")),BO25,0)</f>
        <v>0</v>
      </c>
    </row>
    <row r="27" s="6" customFormat="true" ht="14.25" hidden="false" customHeight="true" outlineLevel="0" collapsed="false">
      <c r="A27" s="79" t="n">
        <v>46202</v>
      </c>
      <c r="B27" s="80" t="str">
        <f aca="false">TEXT(WEEKDAY(A27),"ddd")</f>
        <v>Mon</v>
      </c>
      <c r="C27" s="81" t="s">
        <v>20</v>
      </c>
      <c r="D27" s="82"/>
      <c r="E27" s="79"/>
      <c r="F27" s="82"/>
      <c r="G27" s="82"/>
      <c r="H27" s="82"/>
      <c r="I27" s="83" t="n">
        <f aca="false">IFERROR(IF(N27="Strict",IF(C27="Normal",IFERROR(IF((HOUR(IF(AQ27&lt;=AR27,BB27-AR27,BB27-AQ27))+MINUTE(IF(AQ27&lt;=AR27,BB27-AR27,BB27-AQ27))/60)&gt;=6,HOUR(IF(AQ27&lt;=AR27,BB27-AR27,BB27-AQ27))+MINUTE(IF(AQ27&lt;=AR27,BB27-AR27,BB27-AQ27))/60-1,HOUR(IF(AQ27&lt;=AR27,BB27-AR27,BB27-AQ27))+MINUTE(IF(AQ27&lt;=AR27,BB27-AR27,BB27-AQ27))/60),0),0),IF(N27="Flexi",IF(C27="Normal",IF((HOUR(BB27-AR27)+MINUTE(BB27-AR27)/60)&gt;=6,(HOUR(BB27-AR27)+MINUTE(BB27-AR27)/60)-1,(HOUR(BB27-AR27)+MINUTE(BB27-AR27)/60)),0),0)),0)</f>
        <v>0</v>
      </c>
      <c r="J27" s="82"/>
      <c r="K27" s="79"/>
      <c r="L27" s="84"/>
      <c r="M27" s="79"/>
      <c r="N27" s="79"/>
      <c r="O27" s="85"/>
      <c r="P27" s="79"/>
      <c r="Q27" s="95" t="s">
        <v>111</v>
      </c>
      <c r="R27" s="87" t="n">
        <f aca="false">IF(AND(C27="Normal",I27&gt;0),(8-S27),0)-IF(AND(C27="Normal",OR(C28="Special Holiday",C28="Working - Legal Holiday on RD",C28="Working - Special Holiday on RD",C28="Legal Holiday",C28="Legal Holiday on RD",C28="Special Holiday on RD")),BN27,0)+IF(AND(OR(C27="Normal",C27="Leave",C27="Rest Day"),OR(C26="Special Holiday",C26="Working - Legal Holiday on RD",C26="Working - Special Holiday on RD",C26="Legal Holiday")),BN26,0)</f>
        <v>0</v>
      </c>
      <c r="S27" s="87" t="n">
        <f aca="false">IF(C27="Normal",IF(P27="Remain Lates",(IFERROR(IF(N27="Strict",IF(C27="Normal",IF(AQ27&lt;=AR27,HOUR(AR27-AQ27)+(MINUTE(AR27-AQ27)/60),0)+IF(BB27&lt;=BC27,HOUR(BC27-BB27)+(MINUTE(BC27-BB27)/60),0),0),IF(I27=0,0,(8-I27))),0)-(O27/60)),IF((O27/60)&gt;=IFERROR(IF(N27="Strict",IF(C27="Normal",IF(AQ27&lt;=AR27,HOUR(AR27-AQ27)+(MINUTE(AR27-AQ27)/60),0)+IF(BB27&lt;=BC27,HOUR(BC27-BB27)+(MINUTE(BC27-BB27)/60),0),0),IF(I27=0,0,(8-I27))),0),0,IFERROR(IF(N27="Strict",IF(C27="Normal",IF(AQ27&lt;=AR27,HOUR(AR27-AQ27)+(MINUTE(AR27-AQ27)/60),0)+IF(BB27&lt;=BC27,HOUR(BC27-BB27)+(MINUTE(BC27-BB27)/60),0),0),IF(I27=0,0,(8-I27))),0))),0)</f>
        <v>0</v>
      </c>
      <c r="T27" s="88" t="n">
        <f aca="false">IF(AND(C27="Working - Rest Day",BW27&gt;0),(8-IF(BV27&gt;6,BV27-1,BV27)),0)-IF(AND(C27="Working - Rest Day",OR(C28="Special Holiday",C28="Working - Legal Holiday on RD",C28="Working - Special Holiday on RD",C28="Legal Holiday",C28="Legal Holiday on RD",C28="Special Holiday on RD")),BN27,0)+IF(AND(C27="Working - Rest Day",OR(C26="Special Holiday",C26="Working - Legal Holiday on RD",C26="Working - Special Holiday on RD",C26="Legal Holiday")),BN26,0)</f>
        <v>0</v>
      </c>
      <c r="U27" s="88" t="n">
        <f aca="false">IF(AND(C27="Legal Holiday",BW27&gt;0),(8-IF(BV27&gt;6,BV27-1,BV27)),0)-IF(AND(C27="Legal Holiday",OR(C28="Special Holiday",C28="Legal Holiday on RD",C28="Special Holiday on RD",C28="Normal",C28="Rest Day",C28="Working - Legal Holiday on RD",C28="Working - Special Holiday on RD",C28="Working - Rest Day",C28="Leave")),BN27,0)+IF(AND(OR(C27="Legal Holiday",C27="Legal Holiday on RD"),OR(C26="Special Holiday",C26="Working - Legal Holiday on RD",C26="Working - Special Holiday on RD",C26="Normal",C26="Working - Rest Day")),BN26,0)</f>
        <v>0</v>
      </c>
      <c r="V27" s="88" t="n">
        <f aca="false">IF(AND(C27="Special Holiday",BW27&gt;0),(8-IF(BV27&gt;6,BV27-1,BV27)),0)-IF(AND(C27="Special Holiday",OR(C28="Legal Holiday",C28="Working - Legal Holiday on RD",C28="Working - Special Holiday on RD",C28="Normal",C28="Rest Day",C28="Legal Holiday on RD",C28="Special Holiday on RD",C28="Working - Rest Day",C28="Leave")),BN27,0)+IF(AND(OR(C27="Special Holiday",C27="Special Holiday on RD"),OR(C26="Legal Holiday",C26="Working - Legal Holiday on RD",C26="Working - Special Holiday on RD",C26="Working - Rest Day",C26="Normal")),BN26,0)</f>
        <v>0</v>
      </c>
      <c r="W27" s="88" t="n">
        <f aca="false">IF(AND(C27="Working - Legal Holiday on RD",BW27&gt;0),(8-IF(BV27&gt;6,BV27-1,BV27)),0)-IF(AND(C27="Working - Legal Holiday on RD",OR(C28="Legal Holiday",C28="Special Holiday",C28="Working - Special Holiday on RD",C28="Normal",C28="Rest Day",C28="Special Holiday on RD",C28="Working - Rest Day",C28="Leave")),BN27,0)+IF(AND(C27="Working - Legal Holiday on RD",OR(C26="Legal Holiday",C26="Special Holiday",C26="Working - Special Holiday on RD",C26="Working - Rest Day",C26="Normal")),BN26,0)</f>
        <v>0</v>
      </c>
      <c r="X27" s="88" t="n">
        <f aca="false">IF(AND(C27="Working - Special Holiday on RD",BW27&gt;0),(8-IF(BV27&gt;6,BV27-1,BV27)),0)-IF(AND(C27="Working - Special Holiday on RD",OR(C28="Legal Holiday",C28="Special Holiday",C28="Working - Legal Holiday on RD",C28="Normal",C28="Rest Day",C28="Leave",C28="Working - Rest Day",C28="Legal Holiday on RD")),BN27,0)+IF(AND(C27="Working - Special Holiday on RD",OR(C26="Legal Holiday",C26="Special Holiday",C26="Working - Legal Holiday on RD",C26="Normal",C26="Working - Rest Day")),BN26,0)</f>
        <v>0</v>
      </c>
      <c r="Y27" s="88" t="n">
        <f aca="false">IFERROR(IF(C27="Normal",HOUR(AY27-AV27)+MINUTE(AY27-AV27)/60,0),0)-IFERROR(IF(C27="Normal",HOUR(BA27-AX27)+MINUTE(BA27-AX27)/60,0),0)-IF(AND(C27="Normal",OR(C28="Special Holiday",C28="Working - Legal Holiday on RD",C28="Working - Special Holiday on RD",C28="Legal Holiday",C28="Legal Holiday on RD",C28="Special Holiday on RD")),BP27,0)+IF(AND(OR(C27="Normal",C27="Rest Day",C27="Leave"),OR(C26="Special Holiday",C26="Working - Legal Holiday on RD",C26="Working - Special Holiday on RD",C26="Legal Holiday")),BP26,0)</f>
        <v>0</v>
      </c>
      <c r="Z27" s="88" t="n">
        <f aca="false">IFERROR(IF(C27="Working - Rest Day",HOUR(AY27-AV27)+MINUTE(AY27-AV27)/60,0),0)-IFERROR(IF(C27="Working - Rest Day",HOUR(BA27-AX27)+MINUTE(BA27-AX27)/60,0),0)-IF(AND(C27="Working - Rest Day",OR(C28="Special Holiday",C28="Working - Legal Holiday on RD",C28="Working - Special Holiday on RD",C28="Legal Holiday",C28="Legal Holiday on RD",C28="Special Holiday on RD")),BP27,0)+IF(AND(C27="Working - Rest Day",OR(C26="Special Holiday",C26="Working - Legal Holiday on RD",C26="Working - Special Holiday on RD",C26="Legal Holiday")),BP26,0)</f>
        <v>0</v>
      </c>
      <c r="AA27" s="88" t="n">
        <f aca="false">IFERROR(IF(C27="Legal Holiday",HOUR(AY27-AV27)+MINUTE(AY27-AV27)/60,0),0)-IFERROR(IF(C27="Legal Holiday",HOUR(BA27-AX27)+MINUTE(BA27-AX27)/60,0),0)-IF(AND(C27="Legal Holiday",OR(C28="Special Holiday",C28="Legal Holiday on RD",C28="Special Holiday on RD",C28="Normal",C28="Rest Day",C28="Working - Legal Holiday on RD",C28="Working - Special Holiday on RD",C28="Working - Rest Day",C28="Leave")),BP27,0)+IF(AND(OR(C27="Legal Holiday",C27="Legal Holiday on RD"),OR(C26="Special Holiday",C26="Working - Legal Holiday on RD",C26="Working - Special Holiday on RD",C26="Normal",C26="Working - Rest Day")),BP26,0)</f>
        <v>0</v>
      </c>
      <c r="AB27" s="88" t="n">
        <f aca="false">IFERROR(IF(C27="Special Holiday",HOUR(AY27-AV27)+MINUTE(AY27-AV27)/60,0),0)-IFERROR(IF(C27="Special Holiday",HOUR(BA27-AX27)+MINUTE(BA27-AX27)/60,0),0)-IF(AND(C27="Special Holiday",OR(C28="Legal Holiday",C28="Working - Legal Holiday on RD",C28="Working - Special Holiday on RD",C28="Normal",C28="Rest Day",C28="Legal Holiday on RD",C28="Special Holiday on RD",C28="Working - Rest Day",C28="Leave")),BP27,0)+IF(AND(OR(C27="Special Holiday",C27="Special Holiday on RD"),OR(C26="Legal Holiday",C26="Working - Legal Holiday on RD",C26="Working - Special Holiday on RD",C26="Normal",C26="Working - Rest Day")),BP26,0)</f>
        <v>0</v>
      </c>
      <c r="AC27" s="88" t="n">
        <f aca="false">IFERROR(IF(C27="Working - Legal Holiday on RD",HOUR(AY27-AV27)+MINUTE(AY27-AV27)/60,0),0)-IFERROR(IF(C27="Working - Legal Holiday on RD",HOUR(BA27-AX27)+MINUTE(BA27-AX27)/60,0),0)-IF(AND(C27="Working - Legal Holiday on RD",OR(C28="Legal Holiday",C28="Special Holiday",C28="Working - Special Holiday on RD",C28="Normal",C28="Rest Day",C28="Special Holiday on RD",C28="Working - Rest Day",C28="Leave")),BP27,0)+IF(AND(C27="Working - Legal Holiday on RD",OR(C26="Legal Holiday",C26="Special Holiday",C26="Working - Special Holiday on RD",C26="Normal",C26="Working - Rest Day")),BP26,0)</f>
        <v>0</v>
      </c>
      <c r="AD27" s="88" t="n">
        <f aca="false">IFERROR(IF(C27="Working - Special Holiday on RD",HOUR(AY27-AV27)+MINUTE(AY27-AV27)/60,0),0)-IFERROR(IF(C27="Working - Special Holiday on RD",HOUR(BA27-AX27)+MINUTE(BA27-AX27)/60,0),0)-IF(AND(C27="Working - Special Holiday on RD",OR(C28="Legal Holiday",C28="Special Holiday",C28="Working - Legal Holiday on RD",C28="Normal",C28="Rest Day",C28="Working - Rest Day",C28="Leave",C28="Legal Holiday on RD")),BP27,0)+IF(AND(C27="Working - Special Holiday on RD",OR(C26="Legal Holiday",C26="Special Holiday",C26="Working - Legal Holiday on RD",C26="Normal",C26="Working - Rest Day")),BP26,0)</f>
        <v>0</v>
      </c>
      <c r="AE27" s="88" t="n">
        <f aca="false">IFERROR(IF(C27="Normal",HOUR(BA27-AX27)+MINUTE(BA27-AX27)/60,0),0)-IF(AND(C27="Normal",OR(C28="Special Holiday",C28="Working - Legal Holiday on RD",C28="Working - Special Holiday on RD",C28="Legal Holiday",C28="Legal Holiday on RD",C28="Special Holiday on RD")),BQ27,0)+IF(AND(OR(C27="Normal",C27="Rest Day",C27="Leave"),OR(C26="Special Holiday",C26="Working - Legal Holiday on RD",C26="Working - Special Holiday on RD",C26="Legal Holiday")),BQ26,0)</f>
        <v>0</v>
      </c>
      <c r="AF27" s="88" t="n">
        <f aca="false">IFERROR(IF(C27="Working - Rest Day",HOUR(BA27-AX27)+MINUTE(BA27-AX27)/60,0),0)-IF(AND(C27="Working - Rest Day",OR(C28="Special Holiday",C28="Working - Legal Holiday on RD",C28="Working - Special Holiday on RD",C28="Legal Holiday",C28="Legal Holiday on RD",C28="Special Holiday on RD")),BQ27,0)+IF(AND(C27="Working - Rest Day",OR(C26="Special Holiday",C26="Working - Legal Holiday on RD",C26="Working - Special Holiday on RD",C26="Legal Holiday")),BQ26,0)</f>
        <v>0</v>
      </c>
      <c r="AG27" s="88" t="n">
        <f aca="false">IFERROR(IF(C27="Legal Holiday",HOUR(BA27-AX27)+MINUTE(BA27-AX27)/60,0),0)-IF(AND(C27="Legal Holiday",OR(C28="Special Holiday",C28="Legal Holiday on RD",C28="Special Holiday on RD",C28="Normal",C28="Rest Day",C28="Working - Legal Holiday on RD",C28="Working - Special Holiday on RD",C28="Working - Rest Day",C28="Leave")),BQ27,0)+IF(AND(OR(C27="Legal Holiday",C27="Legal Holiday on RD"),OR(C26="Special Holiday",C26="Working - Legal Holiday on RD",C26="Working - Special Holiday on RD",C26="Normal",C26="Working - Rest Day")),BQ26,0)</f>
        <v>0</v>
      </c>
      <c r="AH27" s="88" t="n">
        <f aca="false">IFERROR(IF(C27="Special Holiday",HOUR(BA27-AX27)+MINUTE(BA27-AX27)/60,0),0)-IF(AND(C27="Special Holiday",OR(C28="Legal Holiday",C28="Working - Legal Holiday on RD",C28="Working - Special Holiday on RD",C28="Normal",C28="Rest Day",C28="Legal Holiday on RD",C28="Special Holiday on RD",C28="Working - Rest Day",C28="Leave")),BQ27,0)+IF(AND(OR(C27="Special Holiday",C27="Special Holiday on RD"),OR(C26="Legal Holiday",C26="Working - Legal Holiday on RD",C26="Working - Special Holiday on RD",C26="Normal",C26="Working - Rest Day")),BQ26,0)</f>
        <v>0</v>
      </c>
      <c r="AI27" s="88" t="n">
        <f aca="false">IFERROR(IF(C27="Working - Legal Holiday on RD",HOUR(BA27-AX27)+MINUTE(BA27-AX27)/60,0),0)-IF(AND(C27="Working - Legal Holiday on RD",OR(C28="Legal Holiday",C28="Special Holiday",C28="Working - Special Holiday on RD",C28="Normal",C28="Rest Day",C28="Special Holiday on RD",C28="Working - Rest Day",C28="Leave")),BQ27,0)+IF(AND(C27="Working - Legal Holiday on RD",OR(C26="Legal Holiday",C26="Special Holiday",C26="Working - Special Holiday on RD",C26="Normal",C26="Working - Rest Day")),BQ26,0)</f>
        <v>0</v>
      </c>
      <c r="AJ27" s="88" t="n">
        <f aca="false">IFERROR(IF(C27="Working - Special Holiday on RD",HOUR(BA27-AX27)+MINUTE(BA27-AX27)/60,0),0)-IF(AND(C27="Working - Special Holiday on RD",OR(C28="Legal Holiday",C28="Special Holiday",C28="Working - Legal Holiday on RD",C28="Normal",C28="Rest Day",C28="Working - Rest Day",C28="Leave",C28="Legal Holiday on RD")),BQ27,0)+IF(AND(C27="Working - Special Holiday on RD",OR(C26="Legal Holiday",C26="Special Holiday",C26="Working - Legal Holiday on RD",C26="Normal",C26="Working - Rest Day")),BQ26,0)</f>
        <v>0</v>
      </c>
      <c r="AK27" s="88" t="n">
        <f aca="false">IFERROR(IF(C27="Normal",HOUR(BF27-AU27)+(MINUTE(BF27-AU27)/60),0),0)-IF(AND(C27="Normal",OR(C28="Special Holiday",C28="Working - Legal Holiday on RD",C28="Working - Special Holiday on RD",C28="Legal Holiday",C28="Legal Holiday on RD",C28="Special Holiday on RD")),BO27,0)+IF(AND(OR(C27="Normal",C27="Rest Day",C27="Leave"),OR(C26="Special Holiday",C26="Working - Legal Holiday on RD",C26="Working - Special Holiday on RD",C26="Legal Holiday")),BO26,0)</f>
        <v>0</v>
      </c>
      <c r="AL27" s="88" t="n">
        <f aca="false">IFERROR(IF(C27="Working - Rest Day",HOUR(BF27-AU27)+(MINUTE(BF27-AU27)/60),0),0)-IF(AND(C27="Working - Rest Day",OR(C28="Special Holiday",C28="Working - Legal Holiday on RD",C28="Working - Special Holiday on RD",C28="Legal Holiday",C28="Legal Holiday on RD",C28="Special Holiday on RD")),BO27,0)+IF(AND(C27="Working - Rest Day",OR(C26="Special Holiday",C26="Working - Legal Holiday on RD",C26="Working - Special Holiday on RD",C26="Legal Holiday")),BO26,0)</f>
        <v>0</v>
      </c>
      <c r="AM27" s="88" t="n">
        <f aca="false">IFERROR(IF(C27="Legal Holiday",HOUR(BF27-AU27)+(MINUTE(BF27-AU27)/60),0),0)-IF(AND(C27="Legal Holiday",OR(C28="Special Holiday",C28="Legal Holiday on RD",C28="Special Holiday on RD",C28="Normal",C28="Rest Day",C28="Working - Legal Holiday on RD",C28="Working - Special Holiday on RD",C28="Working - Rest Day",C28="Leave")),BO27,0)+IF(AND(OR(C27="Legal Holiday",C27="Legal Holiday on RD"),OR(C26="Special Holiday",C26="Working - Legal Holiday on RD",C26="Working - Special Holiday on RD",C26="Normal",C26="Working - Rest Day")),BO26,0)</f>
        <v>0</v>
      </c>
      <c r="AN27" s="88" t="n">
        <f aca="false">IFERROR(IF(C27="Special Holiday",HOUR(BF27-AU27)+(MINUTE(BF27-AU27)/60),0),0)-IF(AND(C27="Special Holiday",OR(C28="Legal Holiday",C28="Working - Legal Holiday on RD",C28="Working - Special Holiday on RD",C28="Normal",C28="Rest Day",C28="Legal Holiday on RD",C28="Special Holiday on RD",C28="Working - Rest Day",C28="Leave")),BO27,0)+IF(AND(OR(C27="Special Holiday",C27="Special Holiday on RD"),OR(C26="Legal Holiday",C26="Working - Legal Holiday on RD",C26="Working - Special Holiday on RD",C26="Normal",C26="Working - Rest Day")),BO26,0)</f>
        <v>0</v>
      </c>
      <c r="AO27" s="88" t="n">
        <f aca="false">IFERROR(IF(C27="Working - Legal Holiday on RD",HOUR(BF27-AU27)+(MINUTE(BF27-AU27)/60),0),0)-IF(AND(C27="Working - Legal Holiday on RD",OR(C28="Legal Holiday",C28="Special Holiday",C28="Working - Special Holiday on RD",C28="Normal",C28="Rest Day",C28="Special Holiday on RD",C28="Working - Rest Day",C28="Leave")),BO27,0)+IF(AND(C27="Working - Legal Holiday on RD",OR(C26="Legal Holiday",C26="Special Holiday",C26="Working - Special Holiday on RD",C26="Normal",C26="Working - Rest Day")),BO26,0)</f>
        <v>0</v>
      </c>
      <c r="AP27" s="88" t="n">
        <f aca="false">IFERROR(IF(C27="Working - Special Holiday on RD",HOUR(BF27-AU27)+(MINUTE(BF27-AU27)/60),0),0)-IF(AND(C27="Working - Special Holiday on RD",OR(C28="Legal Holiday",C28="Special Holiday",C28="Working - Legal Holiday on RD",C28="Normal",C28="Rest Day",C28="Working - Rest Day",C28="Leave",C28="Legal Holiday on RD")),BO27,0)+IF(AND(C27="Working - Special Holiday on RD",OR(C26="Legal Holiday",C26="Special Holiday",C26="Working - Legal Holiday on RD",C26="Normal",C26="Working - Rest Day")),BO26,0)</f>
        <v>0</v>
      </c>
      <c r="AQ27" s="89" t="str">
        <f aca="false">TEXT(D27,"HH:MM")&amp;" "&amp;TEXT(A27,"DD-mmm-YY")</f>
        <v>00:00 29-Jun-26</v>
      </c>
      <c r="AR27" s="89" t="str">
        <f aca="false">TEXT(G27,"HH:MM")&amp;" "&amp;TEXT(A27,"DD-mmm-YY")</f>
        <v>00:00 29-Jun-26</v>
      </c>
      <c r="AS27" s="60" t="str">
        <f aca="false">IF($AR$1&lt;D27,AR27,IF(AT27&lt;=AR27,AR27,AT27))</f>
        <v>22:00 28-Jun-26</v>
      </c>
      <c r="AT27" s="60" t="str">
        <f aca="false">IF(AND(D27&gt;=0,D27&lt;0.25),TEXT($AR$1,"HH:MM")&amp;" "&amp;TEXT((A27-1),"dd-mmm-yy"),TEXT($AR$1,"HH:MM")&amp;" "&amp;TEXT(A27,"dd-mmm-yy"))</f>
        <v>22:00 28-Jun-26</v>
      </c>
      <c r="AU27" s="40" t="e">
        <f aca="false" t="array" ref="AU27:AU27">MAX(AQ27:AS27+0)</f>
        <v>#VALUE!</v>
      </c>
      <c r="AV27" s="60" t="str">
        <f aca="false">TEXT(J27,"HH:MM")&amp;" "&amp;TEXT(K27,"DD-mmm-YY")</f>
        <v>00:00 00-Jan-00</v>
      </c>
      <c r="AW27" s="60" t="str">
        <f aca="false">IF(K27&lt;A27,TEXT($AR$1,"HH:MM")&amp;" "&amp;TEXT((A27-1),"dd-mmm-yy"),IF(AND(D27&gt;0,D27&lt;0.25,L27&lt;0.916666666666667,A27&lt;M27),TEXT($AR$1,"HH:MM")&amp;" "&amp;TEXT((A27-1),"dd-mmm-yy"),TEXT($AR$1,"HH:MM")&amp;" "&amp;TEXT(A27,"dd-mmm-yy")))</f>
        <v>22:00 28-Jun-26</v>
      </c>
      <c r="AX27" s="40" t="e">
        <f aca="false" t="array" ref="AX27:AX27">MAX(AV27:AW27+0)</f>
        <v>#VALUE!</v>
      </c>
      <c r="AY27" s="60" t="str">
        <f aca="false">TEXT(L27,"HH:MM")&amp;" "&amp;TEXT(M27,"DD-mmm-YY")</f>
        <v>00:00 00-Jan-00</v>
      </c>
      <c r="AZ27" s="60" t="str">
        <f aca="false">IF(AND(D27&gt;=0,D27&lt;0.25,L27&lt;0.916666666666667,A27&gt;M27),TEXT($AR$2,"HH:MM")&amp;" "&amp;TEXT(A27,"DD-mmm-YY"),TEXT($AR$2,"HH:MM")&amp;" "&amp;TEXT((A27+1),"DD-mmm-YY"))</f>
        <v>06:00 29-Jun-26</v>
      </c>
      <c r="BA27" s="40" t="e">
        <f aca="false" t="array" ref="BA27:BA27">MIN(AY27:AZ27+0)</f>
        <v>#VALUE!</v>
      </c>
      <c r="BB27" s="60" t="str">
        <f aca="false">IF(G27&gt;H27,TEXT(H27,"HH:MM")&amp;" "&amp;TEXT(E27,"DD-mmm-YY"),IF(H27&gt;1,TEXT(H27,"HH:MM")&amp;" "&amp;TEXT(E27,"DD-mmm-YY"),TEXT(H27,"HH:MM")&amp;" "&amp;TEXT(A27,"DD-mmm-YY")))</f>
        <v>00:00 29-Jun-26</v>
      </c>
      <c r="BC27" s="60" t="str">
        <f aca="false">IF(N27="Flexi",TEXT(G27+$BC$1,"HH:MM")&amp;" "&amp;TEXT(E27,"DD-mmm-YY"),TEXT(F27,"HH:MM")&amp;" "&amp;TEXT(E27,"DD-mmm-YY"))</f>
        <v>00:00 30-Dec-99</v>
      </c>
      <c r="BD27" s="90" t="e">
        <f aca="false" t="array" ref="BD27:BD27">MIN(BB27:BC27+0)</f>
        <v>#VALUE!</v>
      </c>
      <c r="BE27" s="60" t="str">
        <f aca="false">IF(D27&gt;0.25,TEXT($AR$2,"HH:MM")&amp;" "&amp;TEXT(IF(BG27&lt;H27,A27+1,E27),"DD-mmm-YY"),IF(D27&gt;=0,TEXT($AR$2,"HH:MM")&amp;" "&amp;TEXT(IF(BG27&lt;H27,A27+1,E27)-1,"DD-mmm-YY"),TEXT($AR$2,"HH:MM")&amp;" "&amp;TEXT(IF(BG27&lt;H27,A27+1,E27),"DD-mmm-YY")))</f>
        <v>06:00 29-Dec-99</v>
      </c>
      <c r="BF27" s="40" t="e">
        <f aca="false" t="array" ref="BF27:BF27">IF(N27="Flexi",IF(AND(BB27&gt;BC27,BB27&lt;BE27),BB27,MIN(BB27:BE27+0)),MIN(BB27:BE27+0))</f>
        <v>#VALUE!</v>
      </c>
      <c r="BG27" s="7" t="n">
        <v>0</v>
      </c>
      <c r="BH27" s="9" t="str">
        <f aca="false">TEXT(BG27,"HH:MM")&amp;" "&amp;TEXT(A27+1,"DD-mmm-YY")</f>
        <v>00:00 30-Jun-26</v>
      </c>
      <c r="BI27" s="9" t="str">
        <f aca="false">AV27</f>
        <v>00:00 00-Jan-00</v>
      </c>
      <c r="BJ27" s="91" t="e">
        <f aca="false" t="array" ref="BJ27:BJ27">MAX(BH27:BI27+0)</f>
        <v>#VALUE!</v>
      </c>
      <c r="BK27" s="9" t="str">
        <f aca="false">TEXT($AR$2,"HH:MM")&amp;" "&amp;TEXT(A27+1,"DD-mmm-YY")</f>
        <v>06:00 30-Jun-26</v>
      </c>
      <c r="BL27" s="9" t="str">
        <f aca="false">AY27</f>
        <v>00:00 00-Jan-00</v>
      </c>
      <c r="BM27" s="91" t="e">
        <f aca="false" t="array" ref="BM27:BM27">MIN(BK27:BL27+0)</f>
        <v>#VALUE!</v>
      </c>
      <c r="BN27" s="13" t="n">
        <f aca="false">IF(IFERROR(IF(E27&gt;A27,IF(BD27&gt;=BD27,HOUR(BD27-BH27)+MINUTE(BD27-BH27)/60,0),0),0)&gt;5,(IFERROR(IF(E27&gt;A27,IF(BD27&gt;=BD27,HOUR(BD27-BH27)+MINUTE(BD27-BH27)/60,0),0),0)-1),IFERROR(IF(E27&gt;A27,IF(BD27&gt;=BD27,HOUR(BD27-BH27)+MINUTE(BD27-BH27)/60,0),0),0))</f>
        <v>0</v>
      </c>
      <c r="BO27" s="13" t="n">
        <f aca="false">IFERROR(IF(E27&gt;A27,HOUR(BF27-BH27)+MINUTE(BF27-BH27)/60,0),0)</f>
        <v>0</v>
      </c>
      <c r="BP27" s="92" t="n">
        <f aca="false">IF(AND(A27&lt;M27,L27&gt;0.25,L27&lt;=0.916666666666667,J27&gt;=0.25),IFERROR(HOUR(AY27-AV27)+MINUTE(AY27-AV27)/60,0),IFERROR(HOUR(AY27-BK27)+MINUTE(AY27-BK27)/60,0))</f>
        <v>0</v>
      </c>
      <c r="BQ27" s="13" t="n">
        <f aca="false">IFERROR(HOUR(BM27-BJ27)+MINUTE(BM27-BJ27)/60,0)</f>
        <v>0</v>
      </c>
      <c r="BR27" s="13" t="n">
        <f aca="false">IF(AND(C27=C27,BW27&gt;0),(8-BV27),0)-BN27</f>
        <v>0</v>
      </c>
      <c r="BS27" s="13" t="n">
        <f aca="false">IFERROR(IF(C27=C27,HOUR(BF27-AU27)+(MINUTE(BF27-AU27)/60),0),0)-BO27</f>
        <v>0</v>
      </c>
      <c r="BT27" s="92" t="n">
        <f aca="false">IFERROR(IF(C27=C27,HOUR(AY27-AV27)+MINUTE(AY27-AV27)/60,0),0)-IFERROR(IF(C27=C27,HOUR(BA27-AX27)+MINUTE(BA27-AX27)/60,0),0)-BP27</f>
        <v>0</v>
      </c>
      <c r="BU27" s="13" t="n">
        <f aca="false">IFERROR(IF(C27=C27,HOUR(BA27-AX27)+MINUTE(BA27-AX27)/60,0),0)-BQ27</f>
        <v>0</v>
      </c>
      <c r="BV27" s="13" t="n">
        <f aca="false">IF(C27=C27,IF(P27="Remain Lates",(IFERROR(IF(N27="Strict",IF(C27=C27,IF(AQ27&lt;=AR27,HOUR(AR27-AQ27)+(MINUTE(AR27-AQ27)/60),0)+IF(BB27&lt;=BC27,HOUR(BC27-BB27)+(MINUTE(BC27-BB27)/60),0),0),IF(BW27=0,0,(8-BW27))),0)-(O27/60)),IF((O27/60)&gt;=IFERROR(IF(N27="Strict",IF(C27=C27,IF(AQ27&lt;=AR27,HOUR(AR27-AQ27)+(MINUTE(AR27-AQ27)/60),0)+IF(BB27&lt;=BC27,HOUR(BC27-BB27)+(MINUTE(BC27-BB27)/60),0),0),IF(BW27=0,0,(8-BW27))),0),0,IFERROR(IF(N27="Strict",IF(C27=C27,IF(AQ27&lt;=AR27,HOUR(AR27-AQ27)+(MINUTE(AR27-AQ27)/60),0)+IF(BB27&lt;=BC27,HOUR(BC27-BB27)+(MINUTE(BC27-BB27)/60),0),0),IF(BW27=0,0,(8-BW27))),0))),0)</f>
        <v>0</v>
      </c>
      <c r="BW27" s="13" t="n">
        <f aca="false">IFERROR(IF(N27="Strict",IF(C27=C27,IFERROR(IF((HOUR(IF(AQ27&lt;=AR27,BB27-AR27,BB27-AQ27))+MINUTE(IF(AQ27&lt;=AR27,BB27-AR27,BB27-AQ27))/60)&gt;=6,HOUR(IF(AQ27&lt;=AR27,BB27-AR27,BB27-AQ27))+MINUTE(IF(AQ27&lt;=AR27,BB27-AR27,BB27-AQ27))/60-1,HOUR(IF(AQ27&lt;=AR27,BB27-AR27,BB27-AQ27))+MINUTE(IF(AQ27&lt;=AR27,BB27-AR27,BB27-AQ27))/60),0),0),IF(N27="Flexi",IF(C27=C27,IF((HOUR(BB27-AR27)+MINUTE(BB27-AR27)/60)&gt;=6,(HOUR(BB27-AR27)+MINUTE(BB27-AR27)/60)-1,(HOUR(BB27-AR27)+MINUTE(BB27-AR27)/60)),0),0)),0)</f>
        <v>0</v>
      </c>
      <c r="BX27" s="93" t="n">
        <f aca="false">IF(OR(C28="Special Holiday",C28="Working - Legal Holiday on RD",C28="Working - Special Holiday on RD",C28="Legal Holiday",C28="Legal Holiday on RD",C28="Special Holiday on RD",),BN27,0)</f>
        <v>0</v>
      </c>
      <c r="BY27" s="93" t="n">
        <f aca="false">IF(AND(C27="Working - Rest Day",OR(C28="Special Holiday",C28="Working - Legal Holiday on RD",C28="Working - Special Holiday on RD",C28="Legal Holiday",C28="Legal Holiday on RD",C28="Special Holiday on RD",C28="Leave")),BN27,0)</f>
        <v>0</v>
      </c>
      <c r="BZ27" s="93" t="n">
        <f aca="false">IF(AND(C27="Legal Holiday",OR(C28="Special Holiday",C28="Legal Holiday on RD",C28="Special Holiday on RD",C28="Normal",C28="Rest Day",C28="Working - Legal Holiday on RD",C28="Working - Special Holiday on RD",C28="Working - Rest Day",C28="Leave")),BN27,0)</f>
        <v>0</v>
      </c>
      <c r="CA27" s="93" t="n">
        <f aca="false">IF(AND(C27="Special Holiday",OR(C28="Legal Holiday",C28="Working - Legal Holiday on RD",C28="Working - Special Holiday on RD",C28="Normal",C28="Rest Day",C28="Legal Holiday on RD",C28="Special Holiday on RD",C28="Working - Rest Day",C28="Leave")),BN27,0)</f>
        <v>0</v>
      </c>
      <c r="CB27" s="93" t="n">
        <f aca="false">IF(AND(C27="Working - Legal Holiday on RD",OR(C28="Legal Holiday",C28="Special Holiday",C28="Working - Special Holiday on RD",C28="Normal",C28="Rest Day",C28="Special Holiday on RD",C28="Working - Rest Day",C28="Leave")),BN27,0)</f>
        <v>0</v>
      </c>
      <c r="CC27" s="93" t="n">
        <f aca="false">IF(AND(C27="Working - Special Holiday on RD",OR(C28="Legal Holiday",C28="Special Holiday",C28="Working - Legal Holiday on RD",C28="Normal",C28="Rest Day",C28="Leave",C28="Legal Holiday on RD")),BN27,0)</f>
        <v>0</v>
      </c>
      <c r="CD27" s="93" t="n">
        <f aca="false">IF(OR(C26="Special Holiday",C26="Working - Legal Holiday on RD",C26="Working - Special Holiday on RD",C26="Legal Holiday"),BN26,0)</f>
        <v>0</v>
      </c>
      <c r="CE27" s="93" t="n">
        <f aca="false">IF(AND(C27="Working - Rest Day",OR(C26="Special Holiday",C26="Working - Legal Holiday on RD",C26="Working - Special Holiday on RD",C26="Normal",C26="Legal Holiday")),BN26,0)</f>
        <v>0</v>
      </c>
      <c r="CF27" s="93" t="n">
        <f aca="false">IF(AND(OR(C27="Legal Holiday",C27="Legal Holiday on a Rest Day"),OR(C26="Special Holiday",C26="Working - Legal Holiday on RD",C26="Working - Special Holiday on RD",C26="Normal")),BN26,0)</f>
        <v>0</v>
      </c>
      <c r="CG27" s="93" t="n">
        <f aca="false">IF(AND(OR(C27="Special Holiday",C27="Special Holiday on RD"),OR(C26="Legal Holiday",C26="Working - Legal Holiday on RD",C26="Working - Special Holiday on RD",C26="Normal")),BN26,0)</f>
        <v>0</v>
      </c>
      <c r="CH27" s="93" t="n">
        <f aca="false">IF(AND(C27="Working - Legal Holiday on a RD",OR(C26="Legal Holiday",C26="Special Holiday",C26="Working - Special Holiday on RD",C26="Normal")),BN26,0)</f>
        <v>0</v>
      </c>
      <c r="CI27" s="93" t="n">
        <f aca="false">IF(AND(C27="Working - Special Holiday on RD",OR(C26="Legal Holiday",C26="Special Holiday",C26="Working - Legal Holiday on RD",C26="Normal")),BN26,0)</f>
        <v>0</v>
      </c>
      <c r="CJ27" s="93" t="n">
        <f aca="false">IF(OR(C28="Special Holiday",C28="Working - Legal Holiday on RD",C28="Working - Special Holiday on RD",C28="Legal Holiday",C28="Legal Holiday on RD",C28="Special Holiday on RD",),BP27,0)</f>
        <v>0</v>
      </c>
      <c r="CK27" s="93" t="n">
        <f aca="false">IF(AND(C27="Working - Rest Day",OR(C28="Special Holiday",C28="Working - Legal Holiday on RD",C28="Working - Special Holiday on RD",C28="Legal Holiday",C28="Legal Holiday on RD",C28="Special Holiday on RD",C28="Leave")),BP27,0)</f>
        <v>0</v>
      </c>
      <c r="CL27" s="93" t="n">
        <f aca="false">IF(AND(C27="Legal Holiday",OR(C28="Special Holiday",C28="Legal Holiday on RD",C28="Special Holiday on RD",C28="Normal",C28="Rest Day",C28="Working - Legal Holiday on RD",C28="Working - Special Holiday on RD",C28="Working - Rest Day",C28="Leave")),BP27,0)</f>
        <v>0</v>
      </c>
      <c r="CM27" s="93" t="n">
        <f aca="false">IF(AND(C27="Special Holiday",OR(C28="Legal Holiday",C28="Working - Legal Holiday on RD",C28="Working - Special Holiday on RD",C28="Normal",C28="Rest Day",C28="Legal Holiday on RD",C28="Special Holiday on RD",C28="Working - Rest Day",C28="Leave")),BP27,0)</f>
        <v>0</v>
      </c>
      <c r="CN27" s="93" t="n">
        <f aca="false">IF(AND(C27="Working - Legal Holiday on RD",OR(C28="Legal Holiday",C28="Special Holiday",C28="Working - Special Holiday on RD",C28="Normal",C28="Rest Day",C28="Special Holiday on RD",C28="Working - Rest Day",C28="Leave")),BP27,0)</f>
        <v>0</v>
      </c>
      <c r="CO27" s="93" t="n">
        <f aca="false">IF(AND(C27="Working - Special Holiday on RD",OR(C28="Legal Holiday",C28="Special Holiday",C28="Working - Legal Holiday on RD",C28="Normal",C28="Rest Day",C28="Leave",C28="Legal Holiday on RD")),BP27,0)</f>
        <v>0</v>
      </c>
      <c r="CP27" s="93" t="n">
        <f aca="false">IF(OR(C26="Special Holiday",C26="Working - Legal Holiday on RD",C26="Working - Special Holiday on RD",C26="Legal Holiday"),BP26,0)</f>
        <v>0</v>
      </c>
      <c r="CQ27" s="93" t="n">
        <f aca="false">IF(AND(C27="Working - Rest Day",OR(C26="Special Holiday",C26="Working - Legal Holiday on RD",C26="Working - Special Holiday on RD",C26="Normal",C26="Legal Holiday")),BP26,0)</f>
        <v>0</v>
      </c>
      <c r="CR27" s="93" t="n">
        <f aca="false">IF(AND(OR(C27="Legal Holiday",C27="Legal Holiday on a Rest Day"),OR(C26="Special Holiday",C26="Working - Legal Holiday on RD",C26="Working - Special Holiday on RD",C26="Normal")),BP26,0)</f>
        <v>0</v>
      </c>
      <c r="CS27" s="93" t="n">
        <f aca="false">IF(AND(OR(C27="Special Holiday",C27="Special Holiday on RD"),OR(C26="Legal Holiday",C26="Working - Legal Holiday on RD",C26="Working - Special Holiday on RD",C26="Normal")),BP26,0)</f>
        <v>0</v>
      </c>
      <c r="CT27" s="93" t="n">
        <f aca="false">IF(AND(C27="Working - Legal Holiday on a RD",OR(C26="Legal Holiday",C26="Special Holiday",C26="Working - Special Holiday on RD",C26="Normal")),BP26,0)</f>
        <v>0</v>
      </c>
      <c r="CU27" s="93" t="n">
        <f aca="false">IF(AND(C27="Working - Special Holiday on RD",OR(C26="Legal Holiday",C26="Special Holiday",C26="Working - Legal Holiday on RD",C26="Normal")),BP26,0)</f>
        <v>0</v>
      </c>
      <c r="CV27" s="93" t="n">
        <f aca="false">IF(OR(C28="Special Holiday",C28="Working - Legal Holiday on RD",C28="Working - Special Holiday on RD",C28="Legal Holiday",C28="Legal Holiday on RD",C28="Special Holiday on RD",),BQ27,0)</f>
        <v>0</v>
      </c>
      <c r="CW27" s="93" t="n">
        <f aca="false">IF(AND(C27="Working - Rest Day",OR(C28="Special Holiday",C28="Working - Legal Holiday on RD",C28="Working - Special Holiday on RD",C28="Legal Holiday",C28="Legal Holiday on RD",C28="Special Holiday on RD",C28="Leave")),BQ27,0)</f>
        <v>0</v>
      </c>
      <c r="CX27" s="93" t="n">
        <f aca="false">IF(AND(C27="Legal Holiday",OR(C28="Special Holiday",C28="Legal Holiday on RD",C28="Special Holiday on RD",C28="Normal",C28="Rest Day",C28="Working - Legal Holiday on RD",C28="Working - Special Holiday on RD",C28="Working - Rest Day",C28="Leave")),BQ27,0)</f>
        <v>0</v>
      </c>
      <c r="CY27" s="93" t="n">
        <f aca="false">IF(AND(C27="Special Holiday",OR(C28="Legal Holiday",C28="Working - Legal Holiday on RD",C28="Working - Special Holiday on RD",C28="Normal",C28="Rest Day",C28="Legal Holiday on RD",C28="Special Holiday on RD",C28="Working - Rest Day",C28="Leave")),BQ27,0)</f>
        <v>0</v>
      </c>
      <c r="CZ27" s="93" t="n">
        <f aca="false">IF(AND(C27="Working - Legal Holiday on RD",OR(C28="Legal Holiday",C28="Special Holiday",C28="Working - Special Holiday on RD",C28="Normal",C28="Rest Day",C28="Special Holiday on RD",C28="Working - Rest Day",C28="Leave")),BQ27,0)</f>
        <v>0</v>
      </c>
      <c r="DA27" s="93" t="n">
        <f aca="false">IF(AND(C27="Working - Special Holiday on RD",OR(C28="Legal Holiday",C28="Special Holiday",C28="Working - Legal Holiday on RD",C28="Normal",C28="Rest Day",C28="Leave",C28="Legal Holiday on RD")),BQ27,0)</f>
        <v>0</v>
      </c>
      <c r="DB27" s="93" t="n">
        <f aca="false">IF(OR(C26="Special Holiday",C26="Working - Legal Holiday on RD",C26="Working - Special Holiday on RD",C26="Legal Holiday"),BQ26,0)</f>
        <v>0</v>
      </c>
      <c r="DC27" s="93" t="n">
        <f aca="false">IF(AND(C27="Working - Rest Day",OR(C26="Special Holiday",C26="Working - Legal Holiday on RD",C26="Working - Special Holiday on RD",C26="Normal",C26="Legal Holiday")),BQ26,0)</f>
        <v>0</v>
      </c>
      <c r="DD27" s="93" t="n">
        <f aca="false">IF(AND(OR(C27="Legal Holiday",C27="Legal Holiday on a Rest Day"),OR(C26="Special Holiday",C26="Working - Legal Holiday on RD",C26="Working - Special Holiday on RD",C26="Normal")),BQ26,0)</f>
        <v>0</v>
      </c>
      <c r="DE27" s="93" t="n">
        <f aca="false">IF(AND(OR(C27="Special Holiday",C27="Special Holiday on RD"),OR(C26="Legal Holiday",C26="Working - Legal Holiday on RD",C26="Working - Special Holiday on RD",C26="Normal")),BQ26,0)</f>
        <v>0</v>
      </c>
      <c r="DF27" s="93" t="n">
        <f aca="false">IF(AND(C27="Working - Legal Holiday on a RD",OR(C26="Legal Holiday",C26="Special Holiday",C26="Working - Special Holiday on RD",C26="Normal")),BQ26,0)</f>
        <v>0</v>
      </c>
      <c r="DG27" s="93" t="n">
        <f aca="false">IF(AND(C27="Working - Special Holiday on RD",OR(C26="Legal Holiday",C26="Special Holiday",C26="Working - Legal Holiday on RD",C26="Normal")),BQ26,0)</f>
        <v>0</v>
      </c>
      <c r="DH27" s="93" t="n">
        <f aca="false">IF(OR(C28="Special Holiday",C28="Working - Legal Holiday on RD",C28="Working - Special Holiday on RD",C28="Legal Holiday",C28="Legal Holiday on RD",C28="Special Holiday on RD",),BO27,0)</f>
        <v>0</v>
      </c>
      <c r="DI27" s="93" t="n">
        <f aca="false">IF(AND(C27="Working - Rest Day",OR(C28="Special Holiday",C28="Working - Legal Holiday on RD",C28="Working - Special Holiday on RD",C28="Legal Holiday",C28="Legal Holiday on RD",C28="Special Holiday on RD",C28="Leave")),BO27,0)</f>
        <v>0</v>
      </c>
      <c r="DJ27" s="93" t="n">
        <f aca="false">IF(AND(C27="Legal Holiday",OR(C28="Special Holiday",C28="Legal Holiday on RD",C28="Special Holiday on RD",C28="Normal",C28="Rest Day",C28="Working - Legal Holiday on RD",C28="Working - Special Holiday on RD",C28="Working - Rest Day",C28="Leave")),BO27,0)</f>
        <v>0</v>
      </c>
      <c r="DK27" s="93" t="n">
        <f aca="false">IF(AND(C27="Special Holiday",OR(C28="Legal Holiday",C28="Working - Legal Holiday on RD",C28="Working - Special Holiday on RD",C28="Normal",C28="Rest Day",C28="Legal Holiday on RD",C28="Special Holiday on RD",C28="Working - Rest Day",C28="Leave")),BO27,0)</f>
        <v>0</v>
      </c>
      <c r="DL27" s="93" t="n">
        <f aca="false">IF(AND(C27="Working - Legal Holiday on RD",OR(C28="Legal Holiday",C28="Special Holiday",C28="Working - Special Holiday on RD",C28="Normal",C28="Rest Day",C28="Special Holiday on RD",C28="Working - Rest Day",C28="Leave")),BO27,0)</f>
        <v>0</v>
      </c>
      <c r="DM27" s="93" t="n">
        <f aca="false">IF(AND(C27="Working - Special Holiday on RD",OR(C28="Legal Holiday",C28="Special Holiday",C28="Working - Legal Holiday on RD",C28="Normal",C28="Rest Day",C28="Leave",C28="Legal Holiday on RD")),BO27,0)</f>
        <v>0</v>
      </c>
      <c r="DN27" s="93" t="n">
        <f aca="false">IF(OR(C26="Special Holiday",C26="Working - Legal Holiday on RD",C26="Working - Special Holiday on RD",C26="Legal Holiday"),BO26,0)</f>
        <v>0</v>
      </c>
      <c r="DO27" s="93" t="n">
        <f aca="false">IF(AND(C27="Working - Rest Day",OR(C26="Special Holiday",C26="Working - Legal Holiday on RD",C26="Working - Special Holiday on RD",C26="Normal",C26="Legal Holiday")),BO26,0)</f>
        <v>0</v>
      </c>
      <c r="DP27" s="93" t="n">
        <f aca="false">IF(AND(OR(C27="Legal Holiday",C27="Legal Holiday on a Rest Day"),OR(C26="Special Holiday",C26="Working - Legal Holiday on RD",C26="Working - Special Holiday on RD",C26="Normal")),BO26,0)</f>
        <v>0</v>
      </c>
      <c r="DQ27" s="93" t="n">
        <f aca="false">IF(AND(OR(C27="Special Holiday",C27="Special Holiday on RD"),OR(C26="Legal Holiday",C26="Working - Legal Holiday on RD",C26="Working - Special Holiday on RD",C26="Normal")),BO26,0)</f>
        <v>0</v>
      </c>
      <c r="DR27" s="93" t="n">
        <f aca="false">IF(AND(C27="Working - Legal Holiday on a RD",OR(C26="Legal Holiday",C26="Special Holiday",C26="Working - Special Holiday on RD",C26="Normal")),BO26,0)</f>
        <v>0</v>
      </c>
      <c r="DS27" s="93" t="n">
        <f aca="false">IF(AND(C27="Working - Special Holiday on RD",OR(C26="Legal Holiday",C26="Special Holiday",C26="Working - Legal Holiday on RD",C26="Normal")),BO26,0)</f>
        <v>0</v>
      </c>
    </row>
    <row r="28" s="6" customFormat="true" ht="14.25" hidden="false" customHeight="true" outlineLevel="0" collapsed="false">
      <c r="A28" s="79" t="n">
        <v>46203</v>
      </c>
      <c r="B28" s="80" t="str">
        <f aca="false">TEXT(WEEKDAY(A28),"ddd")</f>
        <v>Tue</v>
      </c>
      <c r="C28" s="81" t="s">
        <v>4</v>
      </c>
      <c r="D28" s="82" t="n">
        <v>0.354166666666667</v>
      </c>
      <c r="E28" s="79" t="n">
        <v>46203</v>
      </c>
      <c r="F28" s="82" t="n">
        <v>0.8125</v>
      </c>
      <c r="G28" s="82" t="n">
        <v>0.354166666666667</v>
      </c>
      <c r="H28" s="82" t="n">
        <v>0.8125</v>
      </c>
      <c r="I28" s="83" t="n">
        <f aca="false">IFERROR(IF(N28="Strict",IF(C28="Normal",IFERROR(IF((HOUR(IF(AQ28&lt;=AR28,BB28-AR28,BB28-AQ28))+MINUTE(IF(AQ28&lt;=AR28,BB28-AR28,BB28-AQ28))/60)&gt;=6,HOUR(IF(AQ28&lt;=AR28,BB28-AR28,BB28-AQ28))+MINUTE(IF(AQ28&lt;=AR28,BB28-AR28,BB28-AQ28))/60-1,HOUR(IF(AQ28&lt;=AR28,BB28-AR28,BB28-AQ28))+MINUTE(IF(AQ28&lt;=AR28,BB28-AR28,BB28-AQ28))/60),0),0),IF(N28="Flexi",IF(C28="Normal",IF((HOUR(BB28-AR28)+MINUTE(BB28-AR28)/60)&gt;=6,(HOUR(BB28-AR28)+MINUTE(BB28-AR28)/60)-1,(HOUR(BB28-AR28)+MINUTE(BB28-AR28)/60)),0),0)),0)</f>
        <v>0</v>
      </c>
      <c r="J28" s="82"/>
      <c r="K28" s="79"/>
      <c r="L28" s="84"/>
      <c r="M28" s="79"/>
      <c r="N28" s="79" t="s">
        <v>2</v>
      </c>
      <c r="O28" s="85"/>
      <c r="P28" s="79"/>
      <c r="Q28" s="86" t="s">
        <v>110</v>
      </c>
      <c r="R28" s="87" t="n">
        <f aca="false">IF(AND(C28="Normal",I28&gt;0),(8-S28),0)-IF(AND(C28="Normal",OR(C29="Special Holiday",C29="Working - Legal Holiday on RD",C29="Working - Special Holiday on RD",C29="Legal Holiday",C29="Legal Holiday on RD",C29="Special Holiday on RD")),BN28,0)+IF(AND(OR(C28="Normal",C28="Leave",C28="Rest Day"),OR(C27="Special Holiday",C27="Working - Legal Holiday on RD",C27="Working - Special Holiday on RD",C27="Legal Holiday")),BN27,0)</f>
        <v>0</v>
      </c>
      <c r="S28" s="87" t="n">
        <f aca="false">IF(C28="Normal",IF(P28="Remain Lates",(IFERROR(IF(N28="Strict",IF(C28="Normal",IF(AQ28&lt;=AR28,HOUR(AR28-AQ28)+(MINUTE(AR28-AQ28)/60),0)+IF(BB28&lt;=BC28,HOUR(BC28-BB28)+(MINUTE(BC28-BB28)/60),0),0),IF(I28=0,0,(8-I28))),0)-(O28/60)),IF((O28/60)&gt;=IFERROR(IF(N28="Strict",IF(C28="Normal",IF(AQ28&lt;=AR28,HOUR(AR28-AQ28)+(MINUTE(AR28-AQ28)/60),0)+IF(BB28&lt;=BC28,HOUR(BC28-BB28)+(MINUTE(BC28-BB28)/60),0),0),IF(I28=0,0,(8-I28))),0),0,IFERROR(IF(N28="Strict",IF(C28="Normal",IF(AQ28&lt;=AR28,HOUR(AR28-AQ28)+(MINUTE(AR28-AQ28)/60),0)+IF(BB28&lt;=BC28,HOUR(BC28-BB28)+(MINUTE(BC28-BB28)/60),0),0),IF(I28=0,0,(8-I28))),0))),0)</f>
        <v>0</v>
      </c>
      <c r="T28" s="88" t="n">
        <f aca="false">IF(AND(C28="Working - Rest Day",BW28&gt;0),(8-IF(BV28&gt;6,BV28-1,BV28)),0)-IF(AND(C28="Working - Rest Day",OR(C29="Special Holiday",C29="Working - Legal Holiday on RD",C29="Working - Special Holiday on RD",C29="Legal Holiday",C29="Legal Holiday on RD",C29="Special Holiday on RD")),BN28,0)+IF(AND(C28="Working - Rest Day",OR(C27="Special Holiday",C27="Working - Legal Holiday on RD",C27="Working - Special Holiday on RD",C27="Legal Holiday")),BN27,0)</f>
        <v>0</v>
      </c>
      <c r="U28" s="88" t="n">
        <f aca="false">IF(AND(C28="Legal Holiday",BW28&gt;0),(8-IF(BV28&gt;6,BV28-1,BV28)),0)-IF(AND(C28="Legal Holiday",OR(C29="Special Holiday",C29="Legal Holiday on RD",C29="Special Holiday on RD",C29="Normal",C29="Rest Day",C29="Working - Legal Holiday on RD",C29="Working - Special Holiday on RD",C29="Working - Rest Day",C29="Leave")),BN28,0)+IF(AND(OR(C28="Legal Holiday",C28="Legal Holiday on RD"),OR(C27="Special Holiday",C27="Working - Legal Holiday on RD",C27="Working - Special Holiday on RD",C27="Normal",C27="Working - Rest Day")),BN27,0)</f>
        <v>0</v>
      </c>
      <c r="V28" s="88" t="n">
        <f aca="false">IF(AND(C28="Special Holiday",BW28&gt;0),(8-IF(BV28&gt;6,BV28-1,BV28)),0)-IF(AND(C28="Special Holiday",OR(C29="Legal Holiday",C29="Working - Legal Holiday on RD",C29="Working - Special Holiday on RD",C29="Normal",C29="Rest Day",C29="Legal Holiday on RD",C29="Special Holiday on RD",C29="Working - Rest Day",C29="Leave")),BN28,0)+IF(AND(OR(C28="Special Holiday",C28="Special Holiday on RD"),OR(C27="Legal Holiday",C27="Working - Legal Holiday on RD",C27="Working - Special Holiday on RD",C27="Working - Rest Day",C27="Normal")),BN27,0)</f>
        <v>0</v>
      </c>
      <c r="W28" s="88" t="n">
        <f aca="false">IF(AND(C28="Working - Legal Holiday on RD",BW28&gt;0),(8-IF(BV28&gt;6,BV28-1,BV28)),0)-IF(AND(C28="Working - Legal Holiday on RD",OR(C29="Legal Holiday",C29="Special Holiday",C29="Working - Special Holiday on RD",C29="Normal",C29="Rest Day",C29="Special Holiday on RD",C29="Working - Rest Day",C29="Leave")),BN28,0)+IF(AND(C28="Working - Legal Holiday on RD",OR(C27="Legal Holiday",C27="Special Holiday",C27="Working - Special Holiday on RD",C27="Working - Rest Day",C27="Normal")),BN27,0)</f>
        <v>0</v>
      </c>
      <c r="X28" s="88" t="n">
        <f aca="false">IF(AND(C28="Working - Special Holiday on RD",BW28&gt;0),(8-IF(BV28&gt;6,BV28-1,BV28)),0)-IF(AND(C28="Working - Special Holiday on RD",OR(C29="Legal Holiday",C29="Special Holiday",C29="Working - Legal Holiday on RD",C29="Normal",C29="Rest Day",C29="Leave",C29="Working - Rest Day",C29="Legal Holiday on RD")),BN28,0)+IF(AND(C28="Working - Special Holiday on RD",OR(C27="Legal Holiday",C27="Special Holiday",C27="Working - Legal Holiday on RD",C27="Normal",C27="Working - Rest Day")),BN27,0)</f>
        <v>0</v>
      </c>
      <c r="Y28" s="88" t="n">
        <f aca="false">IFERROR(IF(C28="Normal",HOUR(AY28-AV28)+MINUTE(AY28-AV28)/60,0),0)-IFERROR(IF(C28="Normal",HOUR(BA28-AX28)+MINUTE(BA28-AX28)/60,0),0)-IF(AND(C28="Normal",OR(C29="Special Holiday",C29="Working - Legal Holiday on RD",C29="Working - Special Holiday on RD",C29="Legal Holiday",C29="Legal Holiday on RD",C29="Special Holiday on RD")),BP28,0)+IF(AND(OR(C28="Normal",C28="Rest Day",C28="Leave"),OR(C27="Special Holiday",C27="Working - Legal Holiday on RD",C27="Working - Special Holiday on RD",C27="Legal Holiday")),BP27,0)</f>
        <v>0</v>
      </c>
      <c r="Z28" s="88" t="n">
        <f aca="false">IFERROR(IF(C28="Working - Rest Day",HOUR(AY28-AV28)+MINUTE(AY28-AV28)/60,0),0)-IFERROR(IF(C28="Working - Rest Day",HOUR(BA28-AX28)+MINUTE(BA28-AX28)/60,0),0)-IF(AND(C28="Working - Rest Day",OR(C29="Special Holiday",C29="Working - Legal Holiday on RD",C29="Working - Special Holiday on RD",C29="Legal Holiday",C29="Legal Holiday on RD",C29="Special Holiday on RD")),BP28,0)+IF(AND(C28="Working - Rest Day",OR(C27="Special Holiday",C27="Working - Legal Holiday on RD",C27="Working - Special Holiday on RD",C27="Legal Holiday")),BP27,0)</f>
        <v>0</v>
      </c>
      <c r="AA28" s="88" t="n">
        <f aca="false">IFERROR(IF(C28="Legal Holiday",HOUR(AY28-AV28)+MINUTE(AY28-AV28)/60,0),0)-IFERROR(IF(C28="Legal Holiday",HOUR(BA28-AX28)+MINUTE(BA28-AX28)/60,0),0)-IF(AND(C28="Legal Holiday",OR(C29="Special Holiday",C29="Legal Holiday on RD",C29="Special Holiday on RD",C29="Normal",C29="Rest Day",C29="Working - Legal Holiday on RD",C29="Working - Special Holiday on RD",C29="Working - Rest Day",C29="Leave")),BP28,0)+IF(AND(OR(C28="Legal Holiday",C28="Legal Holiday on RD"),OR(C27="Special Holiday",C27="Working - Legal Holiday on RD",C27="Working - Special Holiday on RD",C27="Normal",C27="Working - Rest Day")),BP27,0)</f>
        <v>0</v>
      </c>
      <c r="AB28" s="88" t="n">
        <f aca="false">IFERROR(IF(C28="Special Holiday",HOUR(AY28-AV28)+MINUTE(AY28-AV28)/60,0),0)-IFERROR(IF(C28="Special Holiday",HOUR(BA28-AX28)+MINUTE(BA28-AX28)/60,0),0)-IF(AND(C28="Special Holiday",OR(C29="Legal Holiday",C29="Working - Legal Holiday on RD",C29="Working - Special Holiday on RD",C29="Normal",C29="Rest Day",C29="Legal Holiday on RD",C29="Special Holiday on RD",C29="Working - Rest Day",C29="Leave")),BP28,0)+IF(AND(OR(C28="Special Holiday",C28="Special Holiday on RD"),OR(C27="Legal Holiday",C27="Working - Legal Holiday on RD",C27="Working - Special Holiday on RD",C27="Normal",C27="Working - Rest Day")),BP27,0)</f>
        <v>0</v>
      </c>
      <c r="AC28" s="88" t="n">
        <f aca="false">IFERROR(IF(C28="Working - Legal Holiday on RD",HOUR(AY28-AV28)+MINUTE(AY28-AV28)/60,0),0)-IFERROR(IF(C28="Working - Legal Holiday on RD",HOUR(BA28-AX28)+MINUTE(BA28-AX28)/60,0),0)-IF(AND(C28="Working - Legal Holiday on RD",OR(C29="Legal Holiday",C29="Special Holiday",C29="Working - Special Holiday on RD",C29="Normal",C29="Rest Day",C29="Special Holiday on RD",C29="Working - Rest Day",C29="Leave")),BP28,0)+IF(AND(C28="Working - Legal Holiday on RD",OR(C27="Legal Holiday",C27="Special Holiday",C27="Working - Special Holiday on RD",C27="Normal",C27="Working - Rest Day")),BP27,0)</f>
        <v>0</v>
      </c>
      <c r="AD28" s="88" t="n">
        <f aca="false">IFERROR(IF(C28="Working - Special Holiday on RD",HOUR(AY28-AV28)+MINUTE(AY28-AV28)/60,0),0)-IFERROR(IF(C28="Working - Special Holiday on RD",HOUR(BA28-AX28)+MINUTE(BA28-AX28)/60,0),0)-IF(AND(C28="Working - Special Holiday on RD",OR(C29="Legal Holiday",C29="Special Holiday",C29="Working - Legal Holiday on RD",C29="Normal",C29="Rest Day",C29="Working - Rest Day",C29="Leave",C29="Legal Holiday on RD")),BP28,0)+IF(AND(C28="Working - Special Holiday on RD",OR(C27="Legal Holiday",C27="Special Holiday",C27="Working - Legal Holiday on RD",C27="Normal",C27="Working - Rest Day")),BP27,0)</f>
        <v>0</v>
      </c>
      <c r="AE28" s="88" t="n">
        <f aca="false">IFERROR(IF(C28="Normal",HOUR(BA28-AX28)+MINUTE(BA28-AX28)/60,0),0)-IF(AND(C28="Normal",OR(C29="Special Holiday",C29="Working - Legal Holiday on RD",C29="Working - Special Holiday on RD",C29="Legal Holiday",C29="Legal Holiday on RD",C29="Special Holiday on RD")),BQ28,0)+IF(AND(OR(C28="Normal",C28="Rest Day",C28="Leave"),OR(C27="Special Holiday",C27="Working - Legal Holiday on RD",C27="Working - Special Holiday on RD",C27="Legal Holiday")),BQ27,0)</f>
        <v>0</v>
      </c>
      <c r="AF28" s="88" t="n">
        <f aca="false">IFERROR(IF(C28="Working - Rest Day",HOUR(BA28-AX28)+MINUTE(BA28-AX28)/60,0),0)-IF(AND(C28="Working - Rest Day",OR(C29="Special Holiday",C29="Working - Legal Holiday on RD",C29="Working - Special Holiday on RD",C29="Legal Holiday",C29="Legal Holiday on RD",C29="Special Holiday on RD")),BQ28,0)+IF(AND(C28="Working - Rest Day",OR(C27="Special Holiday",C27="Working - Legal Holiday on RD",C27="Working - Special Holiday on RD",C27="Legal Holiday")),BQ27,0)</f>
        <v>0</v>
      </c>
      <c r="AG28" s="88" t="n">
        <f aca="false">IFERROR(IF(C28="Legal Holiday",HOUR(BA28-AX28)+MINUTE(BA28-AX28)/60,0),0)-IF(AND(C28="Legal Holiday",OR(C29="Special Holiday",C29="Legal Holiday on RD",C29="Special Holiday on RD",C29="Normal",C29="Rest Day",C29="Working - Legal Holiday on RD",C29="Working - Special Holiday on RD",C29="Working - Rest Day",C29="Leave")),BQ28,0)+IF(AND(OR(C28="Legal Holiday",C28="Legal Holiday on RD"),OR(C27="Special Holiday",C27="Working - Legal Holiday on RD",C27="Working - Special Holiday on RD",C27="Normal",C27="Working - Rest Day")),BQ27,0)</f>
        <v>0</v>
      </c>
      <c r="AH28" s="88" t="n">
        <f aca="false">IFERROR(IF(C28="Special Holiday",HOUR(BA28-AX28)+MINUTE(BA28-AX28)/60,0),0)-IF(AND(C28="Special Holiday",OR(C29="Legal Holiday",C29="Working - Legal Holiday on RD",C29="Working - Special Holiday on RD",C29="Normal",C29="Rest Day",C29="Legal Holiday on RD",C29="Special Holiday on RD",C29="Working - Rest Day",C29="Leave")),BQ28,0)+IF(AND(OR(C28="Special Holiday",C28="Special Holiday on RD"),OR(C27="Legal Holiday",C27="Working - Legal Holiday on RD",C27="Working - Special Holiday on RD",C27="Normal",C27="Working - Rest Day")),BQ27,0)</f>
        <v>0</v>
      </c>
      <c r="AI28" s="88" t="n">
        <f aca="false">IFERROR(IF(C28="Working - Legal Holiday on RD",HOUR(BA28-AX28)+MINUTE(BA28-AX28)/60,0),0)-IF(AND(C28="Working - Legal Holiday on RD",OR(C29="Legal Holiday",C29="Special Holiday",C29="Working - Special Holiday on RD",C29="Normal",C29="Rest Day",C29="Special Holiday on RD",C29="Working - Rest Day",C29="Leave")),BQ28,0)+IF(AND(C28="Working - Legal Holiday on RD",OR(C27="Legal Holiday",C27="Special Holiday",C27="Working - Special Holiday on RD",C27="Normal",C27="Working - Rest Day")),BQ27,0)</f>
        <v>0</v>
      </c>
      <c r="AJ28" s="88" t="n">
        <f aca="false">IFERROR(IF(C28="Working - Special Holiday on RD",HOUR(BA28-AX28)+MINUTE(BA28-AX28)/60,0),0)-IF(AND(C28="Working - Special Holiday on RD",OR(C29="Legal Holiday",C29="Special Holiday",C29="Working - Legal Holiday on RD",C29="Normal",C29="Rest Day",C29="Working - Rest Day",C29="Leave",C29="Legal Holiday on RD")),BQ28,0)+IF(AND(C28="Working - Special Holiday on RD",OR(C27="Legal Holiday",C27="Special Holiday",C27="Working - Legal Holiday on RD",C27="Normal",C27="Working - Rest Day")),BQ27,0)</f>
        <v>0</v>
      </c>
      <c r="AK28" s="88" t="n">
        <f aca="false">IFERROR(IF(C28="Normal",HOUR(BF28-AU28)+(MINUTE(BF28-AU28)/60),0),0)-IF(AND(C28="Normal",OR(C29="Special Holiday",C29="Working - Legal Holiday on RD",C29="Working - Special Holiday on RD",C29="Legal Holiday",C29="Legal Holiday on RD",C29="Special Holiday on RD")),BO28,0)+IF(AND(OR(C28="Normal",C28="Rest Day",C28="Leave"),OR(C27="Special Holiday",C27="Working - Legal Holiday on RD",C27="Working - Special Holiday on RD",C27="Legal Holiday")),BO27,0)</f>
        <v>0</v>
      </c>
      <c r="AL28" s="88" t="n">
        <f aca="false">IFERROR(IF(C28="Working - Rest Day",HOUR(BF28-AU28)+(MINUTE(BF28-AU28)/60),0),0)-IF(AND(C28="Working - Rest Day",OR(C29="Special Holiday",C29="Working - Legal Holiday on RD",C29="Working - Special Holiday on RD",C29="Legal Holiday",C29="Legal Holiday on RD",C29="Special Holiday on RD")),BO28,0)+IF(AND(C28="Working - Rest Day",OR(C27="Special Holiday",C27="Working - Legal Holiday on RD",C27="Working - Special Holiday on RD",C27="Legal Holiday")),BO27,0)</f>
        <v>0</v>
      </c>
      <c r="AM28" s="88" t="n">
        <f aca="false">IFERROR(IF(C28="Legal Holiday",HOUR(BF28-AU28)+(MINUTE(BF28-AU28)/60),0),0)-IF(AND(C28="Legal Holiday",OR(C29="Special Holiday",C29="Legal Holiday on RD",C29="Special Holiday on RD",C29="Normal",C29="Rest Day",C29="Working - Legal Holiday on RD",C29="Working - Special Holiday on RD",C29="Working - Rest Day",C29="Leave")),BO28,0)+IF(AND(OR(C28="Legal Holiday",C28="Legal Holiday on RD"),OR(C27="Special Holiday",C27="Working - Legal Holiday on RD",C27="Working - Special Holiday on RD",C27="Normal",C27="Working - Rest Day")),BO27,0)</f>
        <v>0</v>
      </c>
      <c r="AN28" s="88" t="n">
        <f aca="false">IFERROR(IF(C28="Special Holiday",HOUR(BF28-AU28)+(MINUTE(BF28-AU28)/60),0),0)-IF(AND(C28="Special Holiday",OR(C29="Legal Holiday",C29="Working - Legal Holiday on RD",C29="Working - Special Holiday on RD",C29="Normal",C29="Rest Day",C29="Legal Holiday on RD",C29="Special Holiday on RD",C29="Working - Rest Day",C29="Leave")),BO28,0)+IF(AND(OR(C28="Special Holiday",C28="Special Holiday on RD"),OR(C27="Legal Holiday",C27="Working - Legal Holiday on RD",C27="Working - Special Holiday on RD",C27="Normal",C27="Working - Rest Day")),BO27,0)</f>
        <v>0</v>
      </c>
      <c r="AO28" s="88" t="n">
        <f aca="false">IFERROR(IF(C28="Working - Legal Holiday on RD",HOUR(BF28-AU28)+(MINUTE(BF28-AU28)/60),0),0)-IF(AND(C28="Working - Legal Holiday on RD",OR(C29="Legal Holiday",C29="Special Holiday",C29="Working - Special Holiday on RD",C29="Normal",C29="Rest Day",C29="Special Holiday on RD",C29="Working - Rest Day",C29="Leave")),BO28,0)+IF(AND(C28="Working - Legal Holiday on RD",OR(C27="Legal Holiday",C27="Special Holiday",C27="Working - Special Holiday on RD",C27="Normal",C27="Working - Rest Day")),BO27,0)</f>
        <v>0</v>
      </c>
      <c r="AP28" s="88" t="n">
        <f aca="false">IFERROR(IF(C28="Working - Special Holiday on RD",HOUR(BF28-AU28)+(MINUTE(BF28-AU28)/60),0),0)-IF(AND(C28="Working - Special Holiday on RD",OR(C29="Legal Holiday",C29="Special Holiday",C29="Working - Legal Holiday on RD",C29="Normal",C29="Rest Day",C29="Working - Rest Day",C29="Leave",C29="Legal Holiday on RD")),BO28,0)+IF(AND(C28="Working - Special Holiday on RD",OR(C27="Legal Holiday",C27="Special Holiday",C27="Working - Legal Holiday on RD",C27="Normal",C27="Working - Rest Day")),BO27,0)</f>
        <v>0</v>
      </c>
      <c r="AQ28" s="89" t="str">
        <f aca="false">TEXT(D28,"HH:MM")&amp;" "&amp;TEXT(A28,"DD-mmm-YY")</f>
        <v>08:30 30-Jun-26</v>
      </c>
      <c r="AR28" s="89" t="str">
        <f aca="false">TEXT(G28,"HH:MM")&amp;" "&amp;TEXT(A28,"DD-mmm-YY")</f>
        <v>08:30 30-Jun-26</v>
      </c>
      <c r="AS28" s="60" t="str">
        <f aca="false">IF($AR$1&lt;D28,AR28,IF(AT28&lt;=AR28,AR28,AT28))</f>
        <v>22:00 30-Jun-26</v>
      </c>
      <c r="AT28" s="60" t="str">
        <f aca="false">IF(AND(D28&gt;=0,D28&lt;0.25),TEXT($AR$1,"HH:MM")&amp;" "&amp;TEXT((A28-1),"dd-mmm-yy"),TEXT($AR$1,"HH:MM")&amp;" "&amp;TEXT(A28,"dd-mmm-yy"))</f>
        <v>22:00 30-Jun-26</v>
      </c>
      <c r="AU28" s="40" t="e">
        <f aca="false" t="array" ref="AU28:AU28">MAX(AQ28:AS28+0)</f>
        <v>#VALUE!</v>
      </c>
      <c r="AV28" s="60" t="str">
        <f aca="false">TEXT(J28,"HH:MM")&amp;" "&amp;TEXT(K28,"DD-mmm-YY")</f>
        <v>00:00 00-Jan-00</v>
      </c>
      <c r="AW28" s="60" t="str">
        <f aca="false">IF(K28&lt;A28,TEXT($AR$1,"HH:MM")&amp;" "&amp;TEXT((A28-1),"dd-mmm-yy"),IF(AND(D28&gt;0,D28&lt;0.25,L28&lt;0.916666666666667,A28&lt;M28),TEXT($AR$1,"HH:MM")&amp;" "&amp;TEXT((A28-1),"dd-mmm-yy"),TEXT($AR$1,"HH:MM")&amp;" "&amp;TEXT(A28,"dd-mmm-yy")))</f>
        <v>22:00 29-Jun-26</v>
      </c>
      <c r="AX28" s="40" t="e">
        <f aca="false" t="array" ref="AX28:AX28">MAX(AV28:AW28+0)</f>
        <v>#VALUE!</v>
      </c>
      <c r="AY28" s="60" t="str">
        <f aca="false">TEXT(L28,"HH:MM")&amp;" "&amp;TEXT(M28,"DD-mmm-YY")</f>
        <v>00:00 00-Jan-00</v>
      </c>
      <c r="AZ28" s="60" t="str">
        <f aca="false">IF(AND(D28&gt;=0,D28&lt;0.25,L28&lt;0.916666666666667,A28&gt;M28),TEXT($AR$2,"HH:MM")&amp;" "&amp;TEXT(A28,"DD-mmm-YY"),TEXT($AR$2,"HH:MM")&amp;" "&amp;TEXT((A28+1),"DD-mmm-YY"))</f>
        <v>06:00 01-Jul-26</v>
      </c>
      <c r="BA28" s="40" t="e">
        <f aca="false" t="array" ref="BA28:BA28">MIN(AY28:AZ28+0)</f>
        <v>#VALUE!</v>
      </c>
      <c r="BB28" s="60" t="str">
        <f aca="false">IF(G28&gt;H28,TEXT(H28,"HH:MM")&amp;" "&amp;TEXT(E28,"DD-mmm-YY"),IF(H28&gt;1,TEXT(H28,"HH:MM")&amp;" "&amp;TEXT(E28,"DD-mmm-YY"),TEXT(H28,"HH:MM")&amp;" "&amp;TEXT(A28,"DD-mmm-YY")))</f>
        <v>19:30 30-Jun-26</v>
      </c>
      <c r="BC28" s="60" t="str">
        <f aca="false">IF(N28="Flexi",TEXT(G28+$BC$1,"HH:MM")&amp;" "&amp;TEXT(E28,"DD-mmm-YY"),TEXT(F28,"HH:MM")&amp;" "&amp;TEXT(E28,"DD-mmm-YY"))</f>
        <v>19:30 30-Jun-26</v>
      </c>
      <c r="BD28" s="90" t="e">
        <f aca="false" t="array" ref="BD28:BD28">MIN(BB28:BC28+0)</f>
        <v>#VALUE!</v>
      </c>
      <c r="BE28" s="60" t="str">
        <f aca="false">IF(D28&gt;0.25,TEXT($AR$2,"HH:MM")&amp;" "&amp;TEXT(IF(BG28&lt;H28,A28+1,E28),"DD-mmm-YY"),IF(D28&gt;=0,TEXT($AR$2,"HH:MM")&amp;" "&amp;TEXT(IF(BG28&lt;H28,A28+1,E28)-1,"DD-mmm-YY"),TEXT($AR$2,"HH:MM")&amp;" "&amp;TEXT(IF(BG28&lt;H28,A28+1,E28),"DD-mmm-YY")))</f>
        <v>06:00 01-Jul-26</v>
      </c>
      <c r="BF28" s="40" t="e">
        <f aca="false" t="array" ref="BF28:BF28">IF(N28="Flexi",IF(AND(BB28&gt;BC28,BB28&lt;BE28),BB28,MIN(BB28:BE28+0)),MIN(BB28:BE28+0))</f>
        <v>#VALUE!</v>
      </c>
      <c r="BG28" s="7" t="n">
        <v>0</v>
      </c>
      <c r="BH28" s="9" t="str">
        <f aca="false">TEXT(BG28,"HH:MM")&amp;" "&amp;TEXT(A28+1,"DD-mmm-YY")</f>
        <v>00:00 01-Jul-26</v>
      </c>
      <c r="BI28" s="9" t="str">
        <f aca="false">AV28</f>
        <v>00:00 00-Jan-00</v>
      </c>
      <c r="BJ28" s="91" t="e">
        <f aca="false" t="array" ref="BJ28:BJ28">MAX(BH28:BI28+0)</f>
        <v>#VALUE!</v>
      </c>
      <c r="BK28" s="9" t="str">
        <f aca="false">TEXT($AR$2,"HH:MM")&amp;" "&amp;TEXT(A28+1,"DD-mmm-YY")</f>
        <v>06:00 01-Jul-26</v>
      </c>
      <c r="BL28" s="9" t="str">
        <f aca="false">AY28</f>
        <v>00:00 00-Jan-00</v>
      </c>
      <c r="BM28" s="91" t="e">
        <f aca="false" t="array" ref="BM28:BM28">MIN(BK28:BL28+0)</f>
        <v>#VALUE!</v>
      </c>
      <c r="BN28" s="13" t="n">
        <f aca="false">IF(IFERROR(IF(E28&gt;A28,IF(BD28&gt;=BD28,HOUR(BD28-BH28)+MINUTE(BD28-BH28)/60,0),0),0)&gt;5,(IFERROR(IF(E28&gt;A28,IF(BD28&gt;=BD28,HOUR(BD28-BH28)+MINUTE(BD28-BH28)/60,0),0),0)-1),IFERROR(IF(E28&gt;A28,IF(BD28&gt;=BD28,HOUR(BD28-BH28)+MINUTE(BD28-BH28)/60,0),0),0))</f>
        <v>0</v>
      </c>
      <c r="BO28" s="13" t="n">
        <f aca="false">IFERROR(IF(E28&gt;A28,HOUR(BF28-BH28)+MINUTE(BF28-BH28)/60,0),0)</f>
        <v>0</v>
      </c>
      <c r="BP28" s="92" t="n">
        <f aca="false">IF(AND(A28&lt;M28,L28&gt;0.25,L28&lt;=0.916666666666667,J28&gt;=0.25),IFERROR(HOUR(AY28-AV28)+MINUTE(AY28-AV28)/60,0),IFERROR(HOUR(AY28-BK28)+MINUTE(AY28-BK28)/60,0))</f>
        <v>0</v>
      </c>
      <c r="BQ28" s="13" t="n">
        <f aca="false">IFERROR(HOUR(BM28-BJ28)+MINUTE(BM28-BJ28)/60,0)</f>
        <v>0</v>
      </c>
      <c r="BR28" s="13" t="n">
        <f aca="false">IF(AND(C28=C28,BW28&gt;0),(8-BV28),0)-BN28</f>
        <v>0</v>
      </c>
      <c r="BS28" s="13" t="n">
        <f aca="false">IFERROR(IF(C28=C28,HOUR(BF28-AU28)+(MINUTE(BF28-AU28)/60),0),0)-BO28</f>
        <v>0</v>
      </c>
      <c r="BT28" s="92" t="n">
        <f aca="false">IFERROR(IF(C28=C28,HOUR(AY28-AV28)+MINUTE(AY28-AV28)/60,0),0)-IFERROR(IF(C28=C28,HOUR(BA28-AX28)+MINUTE(BA28-AX28)/60,0),0)-BP28</f>
        <v>0</v>
      </c>
      <c r="BU28" s="13" t="n">
        <f aca="false">IFERROR(IF(C28=C28,HOUR(BA28-AX28)+MINUTE(BA28-AX28)/60,0),0)-BQ28</f>
        <v>0</v>
      </c>
      <c r="BV28" s="13" t="n">
        <f aca="false">IF(C28=C28,IF(P28="Remain Lates",(IFERROR(IF(N28="Strict",IF(C28=C28,IF(AQ28&lt;=AR28,HOUR(AR28-AQ28)+(MINUTE(AR28-AQ28)/60),0)+IF(BB28&lt;=BC28,HOUR(BC28-BB28)+(MINUTE(BC28-BB28)/60),0),0),IF(BW28=0,0,(8-BW28))),0)-(O28/60)),IF((O28/60)&gt;=IFERROR(IF(N28="Strict",IF(C28=C28,IF(AQ28&lt;=AR28,HOUR(AR28-AQ28)+(MINUTE(AR28-AQ28)/60),0)+IF(BB28&lt;=BC28,HOUR(BC28-BB28)+(MINUTE(BC28-BB28)/60),0),0),IF(BW28=0,0,(8-BW28))),0),0,IFERROR(IF(N28="Strict",IF(C28=C28,IF(AQ28&lt;=AR28,HOUR(AR28-AQ28)+(MINUTE(AR28-AQ28)/60),0)+IF(BB28&lt;=BC28,HOUR(BC28-BB28)+(MINUTE(BC28-BB28)/60),0),0),IF(BW28=0,0,(8-BW28))),0))),0)</f>
        <v>0</v>
      </c>
      <c r="BW28" s="13" t="n">
        <f aca="false">IFERROR(IF(N28="Strict",IF(C28=C28,IFERROR(IF((HOUR(IF(AQ28&lt;=AR28,BB28-AR28,BB28-AQ28))+MINUTE(IF(AQ28&lt;=AR28,BB28-AR28,BB28-AQ28))/60)&gt;=6,HOUR(IF(AQ28&lt;=AR28,BB28-AR28,BB28-AQ28))+MINUTE(IF(AQ28&lt;=AR28,BB28-AR28,BB28-AQ28))/60-1,HOUR(IF(AQ28&lt;=AR28,BB28-AR28,BB28-AQ28))+MINUTE(IF(AQ28&lt;=AR28,BB28-AR28,BB28-AQ28))/60),0),0),IF(N28="Flexi",IF(C28=C28,IF((HOUR(BB28-AR28)+MINUTE(BB28-AR28)/60)&gt;=6,(HOUR(BB28-AR28)+MINUTE(BB28-AR28)/60)-1,(HOUR(BB28-AR28)+MINUTE(BB28-AR28)/60)),0),0)),0)</f>
        <v>0</v>
      </c>
      <c r="BX28" s="93" t="n">
        <f aca="false">IF(OR(C29="Special Holiday",C29="Working - Legal Holiday on RD",C29="Working - Special Holiday on RD",C29="Legal Holiday",C29="Legal Holiday on RD",C29="Special Holiday on RD",),BN28,0)</f>
        <v>0</v>
      </c>
      <c r="BY28" s="93" t="n">
        <f aca="false">IF(AND(C28="Working - Rest Day",OR(C29="Special Holiday",C29="Working - Legal Holiday on RD",C29="Working - Special Holiday on RD",C29="Legal Holiday",C29="Legal Holiday on RD",C29="Special Holiday on RD",C29="Leave")),BN28,0)</f>
        <v>0</v>
      </c>
      <c r="BZ28" s="93" t="n">
        <f aca="false">IF(AND(C28="Legal Holiday",OR(C29="Special Holiday",C29="Legal Holiday on RD",C29="Special Holiday on RD",C29="Normal",C29="Rest Day",C29="Working - Legal Holiday on RD",C29="Working - Special Holiday on RD",C29="Working - Rest Day",C29="Leave")),BN28,0)</f>
        <v>0</v>
      </c>
      <c r="CA28" s="93" t="n">
        <f aca="false">IF(AND(C28="Special Holiday",OR(C29="Legal Holiday",C29="Working - Legal Holiday on RD",C29="Working - Special Holiday on RD",C29="Normal",C29="Rest Day",C29="Legal Holiday on RD",C29="Special Holiday on RD",C29="Working - Rest Day",C29="Leave")),BN28,0)</f>
        <v>0</v>
      </c>
      <c r="CB28" s="93" t="n">
        <f aca="false">IF(AND(C28="Working - Legal Holiday on RD",OR(C29="Legal Holiday",C29="Special Holiday",C29="Working - Special Holiday on RD",C29="Normal",C29="Rest Day",C29="Special Holiday on RD",C29="Working - Rest Day",C29="Leave")),BN28,0)</f>
        <v>0</v>
      </c>
      <c r="CC28" s="93" t="n">
        <f aca="false">IF(AND(C28="Working - Special Holiday on RD",OR(C29="Legal Holiday",C29="Special Holiday",C29="Working - Legal Holiday on RD",C29="Normal",C29="Rest Day",C29="Leave",C29="Legal Holiday on RD")),BN28,0)</f>
        <v>0</v>
      </c>
      <c r="CD28" s="93" t="n">
        <f aca="false">IF(OR(C27="Special Holiday",C27="Working - Legal Holiday on RD",C27="Working - Special Holiday on RD",C27="Legal Holiday"),BN27,0)</f>
        <v>0</v>
      </c>
      <c r="CE28" s="93" t="n">
        <f aca="false">IF(AND(C28="Working - Rest Day",OR(C27="Special Holiday",C27="Working - Legal Holiday on RD",C27="Working - Special Holiday on RD",C27="Normal",C27="Legal Holiday")),BN27,0)</f>
        <v>0</v>
      </c>
      <c r="CF28" s="93" t="n">
        <f aca="false">IF(AND(OR(C28="Legal Holiday",C28="Legal Holiday on a Rest Day"),OR(C27="Special Holiday",C27="Working - Legal Holiday on RD",C27="Working - Special Holiday on RD",C27="Normal")),BN27,0)</f>
        <v>0</v>
      </c>
      <c r="CG28" s="93" t="n">
        <f aca="false">IF(AND(OR(C28="Special Holiday",C28="Special Holiday on RD"),OR(C27="Legal Holiday",C27="Working - Legal Holiday on RD",C27="Working - Special Holiday on RD",C27="Normal")),BN27,0)</f>
        <v>0</v>
      </c>
      <c r="CH28" s="93" t="n">
        <f aca="false">IF(AND(C28="Working - Legal Holiday on a RD",OR(C27="Legal Holiday",C27="Special Holiday",C27="Working - Special Holiday on RD",C27="Normal")),BN27,0)</f>
        <v>0</v>
      </c>
      <c r="CI28" s="93" t="n">
        <f aca="false">IF(AND(C28="Working - Special Holiday on RD",OR(C27="Legal Holiday",C27="Special Holiday",C27="Working - Legal Holiday on RD",C27="Normal")),BN27,0)</f>
        <v>0</v>
      </c>
      <c r="CJ28" s="93" t="n">
        <f aca="false">IF(OR(C29="Special Holiday",C29="Working - Legal Holiday on RD",C29="Working - Special Holiday on RD",C29="Legal Holiday",C29="Legal Holiday on RD",C29="Special Holiday on RD",),BP28,0)</f>
        <v>0</v>
      </c>
      <c r="CK28" s="93" t="n">
        <f aca="false">IF(AND(C28="Working - Rest Day",OR(C29="Special Holiday",C29="Working - Legal Holiday on RD",C29="Working - Special Holiday on RD",C29="Legal Holiday",C29="Legal Holiday on RD",C29="Special Holiday on RD",C29="Leave")),BP28,0)</f>
        <v>0</v>
      </c>
      <c r="CL28" s="93" t="n">
        <f aca="false">IF(AND(C28="Legal Holiday",OR(C29="Special Holiday",C29="Legal Holiday on RD",C29="Special Holiday on RD",C29="Normal",C29="Rest Day",C29="Working - Legal Holiday on RD",C29="Working - Special Holiday on RD",C29="Working - Rest Day",C29="Leave")),BP28,0)</f>
        <v>0</v>
      </c>
      <c r="CM28" s="93" t="n">
        <f aca="false">IF(AND(C28="Special Holiday",OR(C29="Legal Holiday",C29="Working - Legal Holiday on RD",C29="Working - Special Holiday on RD",C29="Normal",C29="Rest Day",C29="Legal Holiday on RD",C29="Special Holiday on RD",C29="Working - Rest Day",C29="Leave")),BP28,0)</f>
        <v>0</v>
      </c>
      <c r="CN28" s="93" t="n">
        <f aca="false">IF(AND(C28="Working - Legal Holiday on RD",OR(C29="Legal Holiday",C29="Special Holiday",C29="Working - Special Holiday on RD",C29="Normal",C29="Rest Day",C29="Special Holiday on RD",C29="Working - Rest Day",C29="Leave")),BP28,0)</f>
        <v>0</v>
      </c>
      <c r="CO28" s="93" t="n">
        <f aca="false">IF(AND(C28="Working - Special Holiday on RD",OR(C29="Legal Holiday",C29="Special Holiday",C29="Working - Legal Holiday on RD",C29="Normal",C29="Rest Day",C29="Leave",C29="Legal Holiday on RD")),BP28,0)</f>
        <v>0</v>
      </c>
      <c r="CP28" s="93" t="n">
        <f aca="false">IF(OR(C27="Special Holiday",C27="Working - Legal Holiday on RD",C27="Working - Special Holiday on RD",C27="Legal Holiday"),BP27,0)</f>
        <v>0</v>
      </c>
      <c r="CQ28" s="93" t="n">
        <f aca="false">IF(AND(C28="Working - Rest Day",OR(C27="Special Holiday",C27="Working - Legal Holiday on RD",C27="Working - Special Holiday on RD",C27="Normal",C27="Legal Holiday")),BP27,0)</f>
        <v>0</v>
      </c>
      <c r="CR28" s="93" t="n">
        <f aca="false">IF(AND(OR(C28="Legal Holiday",C28="Legal Holiday on a Rest Day"),OR(C27="Special Holiday",C27="Working - Legal Holiday on RD",C27="Working - Special Holiday on RD",C27="Normal")),BP27,0)</f>
        <v>0</v>
      </c>
      <c r="CS28" s="93" t="n">
        <f aca="false">IF(AND(OR(C28="Special Holiday",C28="Special Holiday on RD"),OR(C27="Legal Holiday",C27="Working - Legal Holiday on RD",C27="Working - Special Holiday on RD",C27="Normal")),BP27,0)</f>
        <v>0</v>
      </c>
      <c r="CT28" s="93" t="n">
        <f aca="false">IF(AND(C28="Working - Legal Holiday on a RD",OR(C27="Legal Holiday",C27="Special Holiday",C27="Working - Special Holiday on RD",C27="Normal")),BP27,0)</f>
        <v>0</v>
      </c>
      <c r="CU28" s="93" t="n">
        <f aca="false">IF(AND(C28="Working - Special Holiday on RD",OR(C27="Legal Holiday",C27="Special Holiday",C27="Working - Legal Holiday on RD",C27="Normal")),BP27,0)</f>
        <v>0</v>
      </c>
      <c r="CV28" s="93" t="n">
        <f aca="false">IF(OR(C29="Special Holiday",C29="Working - Legal Holiday on RD",C29="Working - Special Holiday on RD",C29="Legal Holiday",C29="Legal Holiday on RD",C29="Special Holiday on RD",),BQ28,0)</f>
        <v>0</v>
      </c>
      <c r="CW28" s="93" t="n">
        <f aca="false">IF(AND(C28="Working - Rest Day",OR(C29="Special Holiday",C29="Working - Legal Holiday on RD",C29="Working - Special Holiday on RD",C29="Legal Holiday",C29="Legal Holiday on RD",C29="Special Holiday on RD",C29="Leave")),BQ28,0)</f>
        <v>0</v>
      </c>
      <c r="CX28" s="93" t="n">
        <f aca="false">IF(AND(C28="Legal Holiday",OR(C29="Special Holiday",C29="Legal Holiday on RD",C29="Special Holiday on RD",C29="Normal",C29="Rest Day",C29="Working - Legal Holiday on RD",C29="Working - Special Holiday on RD",C29="Working - Rest Day",C29="Leave")),BQ28,0)</f>
        <v>0</v>
      </c>
      <c r="CY28" s="93" t="n">
        <f aca="false">IF(AND(C28="Special Holiday",OR(C29="Legal Holiday",C29="Working - Legal Holiday on RD",C29="Working - Special Holiday on RD",C29="Normal",C29="Rest Day",C29="Legal Holiday on RD",C29="Special Holiday on RD",C29="Working - Rest Day",C29="Leave")),BQ28,0)</f>
        <v>0</v>
      </c>
      <c r="CZ28" s="93" t="n">
        <f aca="false">IF(AND(C28="Working - Legal Holiday on RD",OR(C29="Legal Holiday",C29="Special Holiday",C29="Working - Special Holiday on RD",C29="Normal",C29="Rest Day",C29="Special Holiday on RD",C29="Working - Rest Day",C29="Leave")),BQ28,0)</f>
        <v>0</v>
      </c>
      <c r="DA28" s="93" t="n">
        <f aca="false">IF(AND(C28="Working - Special Holiday on RD",OR(C29="Legal Holiday",C29="Special Holiday",C29="Working - Legal Holiday on RD",C29="Normal",C29="Rest Day",C29="Leave",C29="Legal Holiday on RD")),BQ28,0)</f>
        <v>0</v>
      </c>
      <c r="DB28" s="93" t="n">
        <f aca="false">IF(OR(C27="Special Holiday",C27="Working - Legal Holiday on RD",C27="Working - Special Holiday on RD",C27="Legal Holiday"),BQ27,0)</f>
        <v>0</v>
      </c>
      <c r="DC28" s="93" t="n">
        <f aca="false">IF(AND(C28="Working - Rest Day",OR(C27="Special Holiday",C27="Working - Legal Holiday on RD",C27="Working - Special Holiday on RD",C27="Normal",C27="Legal Holiday")),BQ27,0)</f>
        <v>0</v>
      </c>
      <c r="DD28" s="93" t="n">
        <f aca="false">IF(AND(OR(C28="Legal Holiday",C28="Legal Holiday on a Rest Day"),OR(C27="Special Holiday",C27="Working - Legal Holiday on RD",C27="Working - Special Holiday on RD",C27="Normal")),BQ27,0)</f>
        <v>0</v>
      </c>
      <c r="DE28" s="93" t="n">
        <f aca="false">IF(AND(OR(C28="Special Holiday",C28="Special Holiday on RD"),OR(C27="Legal Holiday",C27="Working - Legal Holiday on RD",C27="Working - Special Holiday on RD",C27="Normal")),BQ27,0)</f>
        <v>0</v>
      </c>
      <c r="DF28" s="93" t="n">
        <f aca="false">IF(AND(C28="Working - Legal Holiday on a RD",OR(C27="Legal Holiday",C27="Special Holiday",C27="Working - Special Holiday on RD",C27="Normal")),BQ27,0)</f>
        <v>0</v>
      </c>
      <c r="DG28" s="93" t="n">
        <f aca="false">IF(AND(C28="Working - Special Holiday on RD",OR(C27="Legal Holiday",C27="Special Holiday",C27="Working - Legal Holiday on RD",C27="Normal")),BQ27,0)</f>
        <v>0</v>
      </c>
      <c r="DH28" s="93" t="n">
        <f aca="false">IF(OR(C29="Special Holiday",C29="Working - Legal Holiday on RD",C29="Working - Special Holiday on RD",C29="Legal Holiday",C29="Legal Holiday on RD",C29="Special Holiday on RD",),BO28,0)</f>
        <v>0</v>
      </c>
      <c r="DI28" s="93" t="n">
        <f aca="false">IF(AND(C28="Working - Rest Day",OR(C29="Special Holiday",C29="Working - Legal Holiday on RD",C29="Working - Special Holiday on RD",C29="Legal Holiday",C29="Legal Holiday on RD",C29="Special Holiday on RD",C29="Leave")),BO28,0)</f>
        <v>0</v>
      </c>
      <c r="DJ28" s="93" t="n">
        <f aca="false">IF(AND(C28="Legal Holiday",OR(C29="Special Holiday",C29="Legal Holiday on RD",C29="Special Holiday on RD",C29="Normal",C29="Rest Day",C29="Working - Legal Holiday on RD",C29="Working - Special Holiday on RD",C29="Working - Rest Day",C29="Leave")),BO28,0)</f>
        <v>0</v>
      </c>
      <c r="DK28" s="93" t="n">
        <f aca="false">IF(AND(C28="Special Holiday",OR(C29="Legal Holiday",C29="Working - Legal Holiday on RD",C29="Working - Special Holiday on RD",C29="Normal",C29="Rest Day",C29="Legal Holiday on RD",C29="Special Holiday on RD",C29="Working - Rest Day",C29="Leave")),BO28,0)</f>
        <v>0</v>
      </c>
      <c r="DL28" s="93" t="n">
        <f aca="false">IF(AND(C28="Working - Legal Holiday on RD",OR(C29="Legal Holiday",C29="Special Holiday",C29="Working - Special Holiday on RD",C29="Normal",C29="Rest Day",C29="Special Holiday on RD",C29="Working - Rest Day",C29="Leave")),BO28,0)</f>
        <v>0</v>
      </c>
      <c r="DM28" s="93" t="n">
        <f aca="false">IF(AND(C28="Working - Special Holiday on RD",OR(C29="Legal Holiday",C29="Special Holiday",C29="Working - Legal Holiday on RD",C29="Normal",C29="Rest Day",C29="Leave",C29="Legal Holiday on RD")),BO28,0)</f>
        <v>0</v>
      </c>
      <c r="DN28" s="93" t="n">
        <f aca="false">IF(OR(C27="Special Holiday",C27="Working - Legal Holiday on RD",C27="Working - Special Holiday on RD",C27="Legal Holiday"),BO27,0)</f>
        <v>0</v>
      </c>
      <c r="DO28" s="93" t="n">
        <f aca="false">IF(AND(C28="Working - Rest Day",OR(C27="Special Holiday",C27="Working - Legal Holiday on RD",C27="Working - Special Holiday on RD",C27="Normal",C27="Legal Holiday")),BO27,0)</f>
        <v>0</v>
      </c>
      <c r="DP28" s="93" t="n">
        <f aca="false">IF(AND(OR(C28="Legal Holiday",C28="Legal Holiday on a Rest Day"),OR(C27="Special Holiday",C27="Working - Legal Holiday on RD",C27="Working - Special Holiday on RD",C27="Normal")),BO27,0)</f>
        <v>0</v>
      </c>
      <c r="DQ28" s="93" t="n">
        <f aca="false">IF(AND(OR(C28="Special Holiday",C28="Special Holiday on RD"),OR(C27="Legal Holiday",C27="Working - Legal Holiday on RD",C27="Working - Special Holiday on RD",C27="Normal")),BO27,0)</f>
        <v>0</v>
      </c>
      <c r="DR28" s="93" t="n">
        <f aca="false">IF(AND(C28="Working - Legal Holiday on a RD",OR(C27="Legal Holiday",C27="Special Holiday",C27="Working - Special Holiday on RD",C27="Normal")),BO27,0)</f>
        <v>0</v>
      </c>
      <c r="DS28" s="93" t="n">
        <f aca="false">IF(AND(C28="Working - Special Holiday on RD",OR(C27="Legal Holiday",C27="Special Holiday",C27="Working - Legal Holiday on RD",C27="Normal")),BO27,0)</f>
        <v>0</v>
      </c>
    </row>
    <row r="29" s="6" customFormat="true" ht="12.75" hidden="true" customHeight="true" outlineLevel="0" collapsed="false">
      <c r="A29" s="79" t="n">
        <v>46204</v>
      </c>
      <c r="B29" s="80" t="str">
        <f aca="false">TEXT(WEEKDAY(A29),"ddd")</f>
        <v>Wed</v>
      </c>
      <c r="C29" s="81"/>
      <c r="D29" s="82"/>
      <c r="E29" s="79"/>
      <c r="F29" s="82"/>
      <c r="G29" s="82"/>
      <c r="H29" s="82"/>
      <c r="I29" s="83" t="n">
        <f aca="false">IFERROR(IF(N29="Strict",IF(C29="Normal",IFERROR(IF((HOUR(IF(AQ29&lt;=AR29,BB29-AR29,BB29-AQ29))+MINUTE(IF(AQ29&lt;=AR29,BB29-AR29,BB29-AQ29))/60)&gt;=6,HOUR(IF(AQ29&lt;=AR29,BB29-AR29,BB29-AQ29))+MINUTE(IF(AQ29&lt;=AR29,BB29-AR29,BB29-AQ29))/60-1,HOUR(IF(AQ29&lt;=AR29,BB29-AR29,BB29-AQ29))+MINUTE(IF(AQ29&lt;=AR29,BB29-AR29,BB29-AQ29))/60),0),0),IF(N29="Flexi",IF(C29="Normal",IF((HOUR(BB29-AR29)+MINUTE(BB29-AR29)/60)&gt;=6,(HOUR(BB29-AR29)+MINUTE(BB29-AR29)/60)-1,(HOUR(BB29-AR29)+MINUTE(BB29-AR29)/60)),0),0)),0)</f>
        <v>0</v>
      </c>
      <c r="J29" s="82"/>
      <c r="K29" s="79"/>
      <c r="L29" s="84"/>
      <c r="M29" s="79"/>
      <c r="N29" s="79"/>
      <c r="O29" s="85"/>
      <c r="P29" s="79"/>
      <c r="Q29" s="97"/>
      <c r="R29" s="87" t="n">
        <f aca="false">IF(AND(C29="Normal",I29&gt;0),(8-S29),0)-IF(AND(C29="Normal",OR(C30="Special Holiday",C30="Working - Legal Holiday on RD",C30="Working - Special Holiday on RD",C30="Legal Holiday",C30="Legal Holiday on RD",C30="Special Holiday on RD")),BN29,0)+IF(AND(OR(C29="Normal",C29="Leave",C29="Rest Day"),OR(C28="Special Holiday",C28="Working - Legal Holiday on RD",C28="Working - Special Holiday on RD",C28="Legal Holiday")),BN28,0)</f>
        <v>0</v>
      </c>
      <c r="S29" s="87" t="n">
        <f aca="false">IF(C29="Normal",IF(P29="Remain Lates",(IFERROR(IF(N29="Strict",IF(C29="Normal",IF(AQ29&lt;=AR29,HOUR(AR29-AQ29)+(MINUTE(AR29-AQ29)/60),0)+IF(BB29&lt;=BC29,HOUR(BC29-BB29)+(MINUTE(BC29-BB29)/60),0),0),IF(I29=0,0,(8-I29))),0)-(O29/60)),IF((O29/60)&gt;=IFERROR(IF(N29="Strict",IF(C29="Normal",IF(AQ29&lt;=AR29,HOUR(AR29-AQ29)+(MINUTE(AR29-AQ29)/60),0)+IF(BB29&lt;=BC29,HOUR(BC29-BB29)+(MINUTE(BC29-BB29)/60),0),0),IF(I29=0,0,(8-I29))),0),0,IFERROR(IF(N29="Strict",IF(C29="Normal",IF(AQ29&lt;=AR29,HOUR(AR29-AQ29)+(MINUTE(AR29-AQ29)/60),0)+IF(BB29&lt;=BC29,HOUR(BC29-BB29)+(MINUTE(BC29-BB29)/60),0),0),IF(I29=0,0,(8-I29))),0))),0)</f>
        <v>0</v>
      </c>
      <c r="T29" s="88" t="n">
        <f aca="false">IF(AND(C29="Working - Rest Day",BW29&gt;0),(8-IF(BV29&gt;6,BV29-1,BV29)),0)-IF(AND(C29="Working - Rest Day",OR(C30="Special Holiday",C30="Working - Legal Holiday on RD",C30="Working - Special Holiday on RD",C30="Legal Holiday",C30="Legal Holiday on RD",C30="Special Holiday on RD")),BN29,0)+IF(AND(C29="Working - Rest Day",OR(C28="Special Holiday",C28="Working - Legal Holiday on RD",C28="Working - Special Holiday on RD",C28="Legal Holiday")),BN28,0)</f>
        <v>0</v>
      </c>
      <c r="U29" s="88" t="n">
        <f aca="false">IF(AND(C29="Legal Holiday",BW29&gt;0),(8-IF(BV29&gt;6,BV29-1,BV29)),0)-IF(AND(C29="Legal Holiday",OR(C30="Special Holiday",C30="Legal Holiday on RD",C30="Special Holiday on RD",C30="Normal",C30="Rest Day",C30="Working - Legal Holiday on RD",C30="Working - Special Holiday on RD",C30="Working - Rest Day",C30="Leave")),BN29,0)+IF(AND(OR(C29="Legal Holiday",C29="Legal Holiday on RD"),OR(C28="Special Holiday",C28="Working - Legal Holiday on RD",C28="Working - Special Holiday on RD",C28="Normal",C28="Working - Rest Day")),BN28,0)</f>
        <v>0</v>
      </c>
      <c r="V29" s="88" t="n">
        <f aca="false">IF(AND(C29="Special Holiday",BW29&gt;0),(8-IF(BV29&gt;6,BV29-1,BV29)),0)-IF(AND(C29="Special Holiday",OR(C30="Legal Holiday",C30="Working - Legal Holiday on RD",C30="Working - Special Holiday on RD",C30="Normal",C30="Rest Day",C30="Legal Holiday on RD",C30="Special Holiday on RD",C30="Working - Rest Day",C30="Leave")),BN29,0)+IF(AND(OR(C29="Special Holiday",C29="Special Holiday on RD"),OR(C28="Legal Holiday",C28="Working - Legal Holiday on RD",C28="Working - Special Holiday on RD",C28="Working - Rest Day",C28="Normal")),BN28,0)</f>
        <v>0</v>
      </c>
      <c r="W29" s="88" t="n">
        <f aca="false">IF(AND(C29="Working - Legal Holiday on RD",BW29&gt;0),(8-IF(BV29&gt;6,BV29-1,BV29)),0)-IF(AND(C29="Working - Legal Holiday on RD",OR(C30="Legal Holiday",C30="Special Holiday",C30="Working - Special Holiday on RD",C30="Normal",C30="Rest Day",C30="Special Holiday on RD",C30="Working - Rest Day",C30="Leave")),BN29,0)+IF(AND(C29="Working - Legal Holiday on RD",OR(C28="Legal Holiday",C28="Special Holiday",C28="Working - Special Holiday on RD",C28="Working - Rest Day",C28="Normal")),BN28,0)</f>
        <v>0</v>
      </c>
      <c r="X29" s="88" t="n">
        <f aca="false">IF(AND(C29="Working - Special Holiday on RD",BW29&gt;0),(8-IF(BV29&gt;6,BV29-1,BV29)),0)-IF(AND(C29="Working - Special Holiday on RD",OR(C30="Legal Holiday",C30="Special Holiday",C30="Working - Legal Holiday on RD",C30="Normal",C30="Rest Day",C30="Leave",C30="Working - Rest Day",C30="Legal Holiday on RD")),BN29,0)+IF(AND(C29="Working - Special Holiday on RD",OR(C28="Legal Holiday",C28="Special Holiday",C28="Working - Legal Holiday on RD",C28="Normal",C28="Working - Rest Day")),BN28,0)</f>
        <v>0</v>
      </c>
      <c r="Y29" s="88" t="n">
        <f aca="false">IFERROR(IF(C29="Normal",HOUR(AY29-AV29)+MINUTE(AY29-AV29)/60,0),0)-IFERROR(IF(C29="Normal",HOUR(BA29-AX29)+MINUTE(BA29-AX29)/60,0),0)-IF(AND(C29="Normal",OR(C30="Special Holiday",C30="Working - Legal Holiday on RD",C30="Working - Special Holiday on RD",C30="Legal Holiday",C30="Legal Holiday on RD",C30="Special Holiday on RD")),BP29,0)+IF(AND(OR(C29="Normal",C29="Rest Day",C29="Leave"),OR(C28="Special Holiday",C28="Working - Legal Holiday on RD",C28="Working - Special Holiday on RD",C28="Legal Holiday")),BP28,0)</f>
        <v>0</v>
      </c>
      <c r="Z29" s="88" t="n">
        <f aca="false">IFERROR(IF(C29="Working - Rest Day",HOUR(AY29-AV29)+MINUTE(AY29-AV29)/60,0),0)-IFERROR(IF(C29="Working - Rest Day",HOUR(BA29-AX29)+MINUTE(BA29-AX29)/60,0),0)-IF(AND(C29="Working - Rest Day",OR(C30="Special Holiday",C30="Working - Legal Holiday on RD",C30="Working - Special Holiday on RD",C30="Legal Holiday",C30="Legal Holiday on RD",C30="Special Holiday on RD")),BP29,0)+IF(AND(C29="Working - Rest Day",OR(C28="Special Holiday",C28="Working - Legal Holiday on RD",C28="Working - Special Holiday on RD",C28="Legal Holiday")),BP28,0)</f>
        <v>0</v>
      </c>
      <c r="AA29" s="88" t="n">
        <f aca="false">IFERROR(IF(C29="Legal Holiday",HOUR(AY29-AV29)+MINUTE(AY29-AV29)/60,0),0)-IFERROR(IF(C29="Legal Holiday",HOUR(BA29-AX29)+MINUTE(BA29-AX29)/60,0),0)-IF(AND(C29="Legal Holiday",OR(C30="Special Holiday",C30="Legal Holiday on RD",C30="Special Holiday on RD",C30="Normal",C30="Rest Day",C30="Working - Legal Holiday on RD",C30="Working - Special Holiday on RD",C30="Working - Rest Day",C30="Leave")),BP29,0)+IF(AND(OR(C29="Legal Holiday",C29="Legal Holiday on RD"),OR(C28="Special Holiday",C28="Working - Legal Holiday on RD",C28="Working - Special Holiday on RD",C28="Normal",C28="Working - Rest Day")),BP28,0)</f>
        <v>0</v>
      </c>
      <c r="AB29" s="88" t="n">
        <f aca="false">IFERROR(IF(C29="Special Holiday",HOUR(AY29-AV29)+MINUTE(AY29-AV29)/60,0),0)-IFERROR(IF(C29="Special Holiday",HOUR(BA29-AX29)+MINUTE(BA29-AX29)/60,0),0)-IF(AND(C29="Special Holiday",OR(C30="Legal Holiday",C30="Working - Legal Holiday on RD",C30="Working - Special Holiday on RD",C30="Normal",C30="Rest Day",C30="Legal Holiday on RD",C30="Special Holiday on RD",C30="Working - Rest Day",C30="Leave")),BP29,0)+IF(AND(OR(C29="Special Holiday",C29="Special Holiday on RD"),OR(C28="Legal Holiday",C28="Working - Legal Holiday on RD",C28="Working - Special Holiday on RD",C28="Normal",C28="Working - Rest Day")),BP28,0)</f>
        <v>0</v>
      </c>
      <c r="AC29" s="88" t="n">
        <f aca="false">IFERROR(IF(C29="Working - Legal Holiday on RD",HOUR(AY29-AV29)+MINUTE(AY29-AV29)/60,0),0)-IFERROR(IF(C29="Working - Legal Holiday on RD",HOUR(BA29-AX29)+MINUTE(BA29-AX29)/60,0),0)-IF(AND(C29="Working - Legal Holiday on RD",OR(C30="Legal Holiday",C30="Special Holiday",C30="Working - Special Holiday on RD",C30="Normal",C30="Rest Day",C30="Special Holiday on RD",C30="Working - Rest Day",C30="Leave")),BP29,0)+IF(AND(C29="Working - Legal Holiday on RD",OR(C28="Legal Holiday",C28="Special Holiday",C28="Working - Special Holiday on RD",C28="Normal",C28="Working - Rest Day")),BP28,0)</f>
        <v>0</v>
      </c>
      <c r="AD29" s="88" t="n">
        <f aca="false">IFERROR(IF(C29="Working - Special Holiday on RD",HOUR(AY29-AV29)+MINUTE(AY29-AV29)/60,0),0)-IFERROR(IF(C29="Working - Special Holiday on RD",HOUR(BA29-AX29)+MINUTE(BA29-AX29)/60,0),0)-IF(AND(C29="Working - Special Holiday on RD",OR(C30="Legal Holiday",C30="Special Holiday",C30="Working - Legal Holiday on RD",C30="Normal",C30="Rest Day",C30="Working - Rest Day",C30="Leave",C30="Legal Holiday on RD")),BP29,0)+IF(AND(C29="Working - Special Holiday on RD",OR(C28="Legal Holiday",C28="Special Holiday",C28="Working - Legal Holiday on RD",C28="Normal",C28="Working - Rest Day")),BP28,0)</f>
        <v>0</v>
      </c>
      <c r="AE29" s="88" t="n">
        <f aca="false">IFERROR(IF(C29="Normal",HOUR(BA29-AX29)+MINUTE(BA29-AX29)/60,0),0)-IF(AND(C29="Normal",OR(C30="Special Holiday",C30="Working - Legal Holiday on RD",C30="Working - Special Holiday on RD",C30="Legal Holiday",C30="Legal Holiday on RD",C30="Special Holiday on RD")),BQ29,0)+IF(AND(OR(C29="Normal",C29="Rest Day",C29="Leave"),OR(C28="Special Holiday",C28="Working - Legal Holiday on RD",C28="Working - Special Holiday on RD",C28="Legal Holiday")),BQ28,0)</f>
        <v>0</v>
      </c>
      <c r="AF29" s="88" t="n">
        <f aca="false">IFERROR(IF(C29="Working - Rest Day",HOUR(BA29-AX29)+MINUTE(BA29-AX29)/60,0),0)-IF(AND(C29="Working - Rest Day",OR(C30="Special Holiday",C30="Working - Legal Holiday on RD",C30="Working - Special Holiday on RD",C30="Legal Holiday",C30="Legal Holiday on RD",C30="Special Holiday on RD")),BQ29,0)+IF(AND(C29="Working - Rest Day",OR(C28="Special Holiday",C28="Working - Legal Holiday on RD",C28="Working - Special Holiday on RD",C28="Legal Holiday")),BQ28,0)</f>
        <v>0</v>
      </c>
      <c r="AG29" s="88" t="n">
        <f aca="false">IFERROR(IF(C29="Legal Holiday",HOUR(BA29-AX29)+MINUTE(BA29-AX29)/60,0),0)-IF(AND(C29="Legal Holiday",OR(C30="Special Holiday",C30="Legal Holiday on RD",C30="Special Holiday on RD",C30="Normal",C30="Rest Day",C30="Working - Legal Holiday on RD",C30="Working - Special Holiday on RD",C30="Working - Rest Day",C30="Leave")),BQ29,0)+IF(AND(OR(C29="Legal Holiday",C29="Legal Holiday on RD"),OR(C28="Special Holiday",C28="Working - Legal Holiday on RD",C28="Working - Special Holiday on RD",C28="Normal",C28="Working - Rest Day")),BQ28,0)</f>
        <v>0</v>
      </c>
      <c r="AH29" s="88" t="n">
        <f aca="false">IFERROR(IF(C29="Special Holiday",HOUR(BA29-AX29)+MINUTE(BA29-AX29)/60,0),0)-IF(AND(C29="Special Holiday",OR(C30="Legal Holiday",C30="Working - Legal Holiday on RD",C30="Working - Special Holiday on RD",C30="Normal",C30="Rest Day",C30="Legal Holiday on RD",C30="Special Holiday on RD",C30="Working - Rest Day",C30="Leave")),BQ29,0)+IF(AND(OR(C29="Special Holiday",C29="Special Holiday on RD"),OR(C28="Legal Holiday",C28="Working - Legal Holiday on RD",C28="Working - Special Holiday on RD",C28="Normal",C28="Working - Rest Day")),BQ28,0)</f>
        <v>0</v>
      </c>
      <c r="AI29" s="88" t="n">
        <f aca="false">IFERROR(IF(C29="Working - Legal Holiday on RD",HOUR(BA29-AX29)+MINUTE(BA29-AX29)/60,0),0)-IF(AND(C29="Working - Legal Holiday on RD",OR(C30="Legal Holiday",C30="Special Holiday",C30="Working - Special Holiday on RD",C30="Normal",C30="Rest Day",C30="Special Holiday on RD",C30="Working - Rest Day",C30="Leave")),BQ29,0)+IF(AND(C29="Working - Legal Holiday on RD",OR(C28="Legal Holiday",C28="Special Holiday",C28="Working - Special Holiday on RD",C28="Normal",C28="Working - Rest Day")),BQ28,0)</f>
        <v>0</v>
      </c>
      <c r="AJ29" s="88" t="n">
        <f aca="false">IFERROR(IF(C29="Working - Special Holiday on RD",HOUR(BA29-AX29)+MINUTE(BA29-AX29)/60,0),0)-IF(AND(C29="Working - Special Holiday on RD",OR(C30="Legal Holiday",C30="Special Holiday",C30="Working - Legal Holiday on RD",C30="Normal",C30="Rest Day",C30="Working - Rest Day",C30="Leave",C30="Legal Holiday on RD")),BQ29,0)+IF(AND(C29="Working - Special Holiday on RD",OR(C28="Legal Holiday",C28="Special Holiday",C28="Working - Legal Holiday on RD",C28="Normal",C28="Working - Rest Day")),BQ28,0)</f>
        <v>0</v>
      </c>
      <c r="AK29" s="88" t="n">
        <f aca="false">IFERROR(IF(C29="Normal",HOUR(BF29-AU29)+(MINUTE(BF29-AU29)/60),0),0)-IF(AND(C29="Normal",OR(C30="Special Holiday",C30="Working - Legal Holiday on RD",C30="Working - Special Holiday on RD",C30="Legal Holiday",C30="Legal Holiday on RD",C30="Special Holiday on RD")),BO29,0)+IF(AND(OR(C29="Normal",C29="Rest Day",C29="Leave"),OR(C28="Special Holiday",C28="Working - Legal Holiday on RD",C28="Working - Special Holiday on RD",C28="Legal Holiday")),BO28,0)</f>
        <v>0</v>
      </c>
      <c r="AL29" s="88" t="n">
        <f aca="false">IFERROR(IF(C29="Working - Rest Day",HOUR(BF29-AU29)+(MINUTE(BF29-AU29)/60),0),0)-IF(AND(C29="Working - Rest Day",OR(C30="Special Holiday",C30="Working - Legal Holiday on RD",C30="Working - Special Holiday on RD",C30="Legal Holiday",C30="Legal Holiday on RD",C30="Special Holiday on RD")),BO29,0)+IF(AND(C29="Working - Rest Day",OR(C28="Special Holiday",C28="Working - Legal Holiday on RD",C28="Working - Special Holiday on RD",C28="Legal Holiday")),BO28,0)</f>
        <v>0</v>
      </c>
      <c r="AM29" s="88" t="n">
        <f aca="false">IFERROR(IF(C29="Legal Holiday",HOUR(BF29-AU29)+(MINUTE(BF29-AU29)/60),0),0)-IF(AND(C29="Legal Holiday",OR(C30="Special Holiday",C30="Legal Holiday on RD",C30="Special Holiday on RD",C30="Normal",C30="Rest Day",C30="Working - Legal Holiday on RD",C30="Working - Special Holiday on RD",C30="Working - Rest Day",C30="Leave")),BO29,0)+IF(AND(OR(C29="Legal Holiday",C29="Legal Holiday on RD"),OR(C28="Special Holiday",C28="Working - Legal Holiday on RD",C28="Working - Special Holiday on RD",C28="Normal",C28="Working - Rest Day")),BO28,0)</f>
        <v>0</v>
      </c>
      <c r="AN29" s="88" t="n">
        <f aca="false">IFERROR(IF(C29="Special Holiday",HOUR(BF29-AU29)+(MINUTE(BF29-AU29)/60),0),0)-IF(AND(C29="Special Holiday",OR(C30="Legal Holiday",C30="Working - Legal Holiday on RD",C30="Working - Special Holiday on RD",C30="Normal",C30="Rest Day",C30="Legal Holiday on RD",C30="Special Holiday on RD",C30="Working - Rest Day",C30="Leave")),BO29,0)+IF(AND(OR(C29="Special Holiday",C29="Special Holiday on RD"),OR(C28="Legal Holiday",C28="Working - Legal Holiday on RD",C28="Working - Special Holiday on RD",C28="Normal",C28="Working - Rest Day")),BO28,0)</f>
        <v>0</v>
      </c>
      <c r="AO29" s="88" t="n">
        <f aca="false">IFERROR(IF(C29="Working - Legal Holiday on RD",HOUR(BF29-AU29)+(MINUTE(BF29-AU29)/60),0),0)-IF(AND(C29="Working - Legal Holiday on RD",OR(C30="Legal Holiday",C30="Special Holiday",C30="Working - Special Holiday on RD",C30="Normal",C30="Rest Day",C30="Special Holiday on RD",C30="Working - Rest Day",C30="Leave")),BO29,0)+IF(AND(C29="Working - Legal Holiday on RD",OR(C28="Legal Holiday",C28="Special Holiday",C28="Working - Special Holiday on RD",C28="Normal",C28="Working - Rest Day")),BO28,0)</f>
        <v>0</v>
      </c>
      <c r="AP29" s="88" t="n">
        <f aca="false">IFERROR(IF(C29="Working - Special Holiday on RD",HOUR(BF29-AU29)+(MINUTE(BF29-AU29)/60),0),0)-IF(AND(C29="Working - Special Holiday on RD",OR(C30="Legal Holiday",C30="Special Holiday",C30="Working - Legal Holiday on RD",C30="Normal",C30="Rest Day",C30="Working - Rest Day",C30="Leave",C30="Legal Holiday on RD")),BO29,0)+IF(AND(C29="Working - Special Holiday on RD",OR(C28="Legal Holiday",C28="Special Holiday",C28="Working - Legal Holiday on RD",C28="Normal",C28="Working - Rest Day")),BO28,0)</f>
        <v>0</v>
      </c>
      <c r="AQ29" s="89" t="str">
        <f aca="false">TEXT(D29,"HH:MM")&amp;" "&amp;TEXT(A29,"DD-mmm-YY")</f>
        <v>00:00 01-Jul-26</v>
      </c>
      <c r="AR29" s="89" t="str">
        <f aca="false">TEXT(G29,"HH:MM")&amp;" "&amp;TEXT(A29,"DD-mmm-YY")</f>
        <v>00:00 01-Jul-26</v>
      </c>
      <c r="AS29" s="60" t="str">
        <f aca="false">IF($AR$1&lt;D29,AR29,IF(AT29&lt;=AR29,AR29,AT29))</f>
        <v>22:00 30-Jun-26</v>
      </c>
      <c r="AT29" s="60" t="str">
        <f aca="false">IF(AND(D29&gt;=0,D29&lt;0.25),TEXT($AR$1,"HH:MM")&amp;" "&amp;TEXT((A29-1),"dd-mmm-yy"),TEXT($AR$1,"HH:MM")&amp;" "&amp;TEXT(A29,"dd-mmm-yy"))</f>
        <v>22:00 30-Jun-26</v>
      </c>
      <c r="AU29" s="40" t="e">
        <f aca="false" t="array" ref="AU29:AU29">MAX(AQ29:AS29+0)</f>
        <v>#VALUE!</v>
      </c>
      <c r="AV29" s="60" t="str">
        <f aca="false">TEXT(J29,"HH:MM")&amp;" "&amp;TEXT(K29,"DD-mmm-YY")</f>
        <v>00:00 00-Jan-00</v>
      </c>
      <c r="AW29" s="60" t="str">
        <f aca="false">IF(K29&lt;A29,TEXT($AR$1,"HH:MM")&amp;" "&amp;TEXT((A29-1),"dd-mmm-yy"),IF(AND(D29&gt;0,D29&lt;0.25,L29&lt;0.916666666666667,A29&lt;M29),TEXT($AR$1,"HH:MM")&amp;" "&amp;TEXT((A29-1),"dd-mmm-yy"),TEXT($AR$1,"HH:MM")&amp;" "&amp;TEXT(A29,"dd-mmm-yy")))</f>
        <v>22:00 30-Jun-26</v>
      </c>
      <c r="AX29" s="40" t="e">
        <f aca="false" t="array" ref="AX29:AX29">MAX(AV29:AW29+0)</f>
        <v>#VALUE!</v>
      </c>
      <c r="AY29" s="60" t="str">
        <f aca="false">TEXT(L29,"HH:MM")&amp;" "&amp;TEXT(M29,"DD-mmm-YY")</f>
        <v>00:00 00-Jan-00</v>
      </c>
      <c r="AZ29" s="60" t="str">
        <f aca="false">IF(AND(D29&gt;=0,D29&lt;0.25,L29&lt;0.916666666666667,A29&gt;M29),TEXT($AR$2,"HH:MM")&amp;" "&amp;TEXT(A29,"DD-mmm-YY"),TEXT($AR$2,"HH:MM")&amp;" "&amp;TEXT((A29+1),"DD-mmm-YY"))</f>
        <v>06:00 01-Jul-26</v>
      </c>
      <c r="BA29" s="40" t="e">
        <f aca="false" t="array" ref="BA29:BA29">MIN(AY29:AZ29+0)</f>
        <v>#VALUE!</v>
      </c>
      <c r="BB29" s="60" t="str">
        <f aca="false">IF(G29&gt;H29,TEXT(H29,"HH:MM")&amp;" "&amp;TEXT(E29,"DD-mmm-YY"),IF(H29&gt;1,TEXT(H29,"HH:MM")&amp;" "&amp;TEXT(E29,"DD-mmm-YY"),TEXT(H29,"HH:MM")&amp;" "&amp;TEXT(A29,"DD-mmm-YY")))</f>
        <v>00:00 01-Jul-26</v>
      </c>
      <c r="BC29" s="60" t="str">
        <f aca="false">IF(N29="Flexi",TEXT(G29+$BC$1,"HH:MM")&amp;" "&amp;TEXT(E29,"DD-mmm-YY"),TEXT(F29,"HH:MM")&amp;" "&amp;TEXT(E29,"DD-mmm-YY"))</f>
        <v>00:00 00-Jan-00</v>
      </c>
      <c r="BD29" s="90" t="e">
        <f aca="false" t="array" ref="BD29:BD29">MIN(BB29:BC29+0)</f>
        <v>#VALUE!</v>
      </c>
      <c r="BE29" s="60" t="str">
        <f aca="false">IF(D29&gt;0.25,TEXT($AR$2,"HH:MM")&amp;" "&amp;TEXT(IF(BG29&lt;H29,A29+1,E29),"DD-mmm-YY"),IF(D29&gt;=0,TEXT($AR$2,"HH:MM")&amp;" "&amp;TEXT(IF(BG29&lt;H29,A29+1,E29)-1,"DD-mmm-YY"),TEXT($AR$2,"HH:MM")&amp;" "&amp;TEXT(IF(BG29&lt;H29,A29+1,E29),"DD-mmm-YY")))</f>
        <v>06:00 29-Dec-99</v>
      </c>
      <c r="BF29" s="40" t="e">
        <f aca="false" t="array" ref="BF29:BF29">IF(N29="Flexi",IF(AND(BB29&gt;BC29,BB29&lt;BE29),BB29,MIN(BB29:BE29+0)),MIN(BB29:BE29+0))</f>
        <v>#VALUE!</v>
      </c>
      <c r="BG29" s="7" t="n">
        <v>0</v>
      </c>
      <c r="BH29" s="9" t="str">
        <f aca="false">TEXT(BG29,"HH:MM")&amp;" "&amp;TEXT(A29+1,"DD-mmm-YY")</f>
        <v>00:00 02-Jul-26</v>
      </c>
      <c r="BI29" s="9" t="str">
        <f aca="false">AV29</f>
        <v>00:00 00-Jan-00</v>
      </c>
      <c r="BJ29" s="91" t="e">
        <f aca="false" t="array" ref="BJ29:BJ29">MAX(BH29:BI29+0)</f>
        <v>#VALUE!</v>
      </c>
      <c r="BK29" s="9" t="str">
        <f aca="false">TEXT($AR$2,"HH:MM")&amp;" "&amp;TEXT(A29+1,"DD-mmm-YY")</f>
        <v>06:00 02-Jul-26</v>
      </c>
      <c r="BL29" s="9" t="str">
        <f aca="false">AY29</f>
        <v>00:00 00-Jan-00</v>
      </c>
      <c r="BM29" s="91" t="e">
        <f aca="false" t="array" ref="BM29:BM29">MIN(BK29:BL29+0)</f>
        <v>#VALUE!</v>
      </c>
      <c r="BN29" s="13" t="n">
        <f aca="false">IF(IFERROR(IF(E29&gt;A29,IF(BD29&gt;=BD29,HOUR(BD29-BH29)+MINUTE(BD29-BH29)/60,0),0),0)&gt;5,(IFERROR(IF(E29&gt;A29,IF(BD29&gt;=BD29,HOUR(BD29-BH29)+MINUTE(BD29-BH29)/60,0),0),0)-1),IFERROR(IF(E29&gt;A29,IF(BD29&gt;=BD29,HOUR(BD29-BH29)+MINUTE(BD29-BH29)/60,0),0),0))</f>
        <v>0</v>
      </c>
      <c r="BO29" s="13" t="n">
        <f aca="false">IFERROR(IF(E29&gt;A29,HOUR(BF29-BH29)+MINUTE(BF29-BH29)/60,0),0)</f>
        <v>0</v>
      </c>
      <c r="BP29" s="92" t="n">
        <f aca="false">IF(AND(A29&lt;M29,L29&gt;0.25,L29&lt;=0.916666666666667,J29&gt;=0.25),IFERROR(HOUR(AY29-AV29)+MINUTE(AY29-AV29)/60,0),IFERROR(HOUR(AY29-BK29)+MINUTE(AY29-BK29)/60,0))</f>
        <v>0</v>
      </c>
      <c r="BQ29" s="13" t="n">
        <f aca="false">IFERROR(HOUR(BM29-BJ29)+MINUTE(BM29-BJ29)/60,0)</f>
        <v>0</v>
      </c>
      <c r="BR29" s="13" t="n">
        <f aca="false">IF(AND(C29=C29,BW29&gt;0),(8-BV29),0)-BN29</f>
        <v>0</v>
      </c>
      <c r="BS29" s="13" t="n">
        <f aca="false">IFERROR(IF(C29=C29,HOUR(BF29-AU29)+(MINUTE(BF29-AU29)/60),0),0)-BO29</f>
        <v>0</v>
      </c>
      <c r="BT29" s="92" t="n">
        <f aca="false">IFERROR(IF(C29=C29,HOUR(AY29-AV29)+MINUTE(AY29-AV29)/60,0),0)-IFERROR(IF(C29=C29,HOUR(BA29-AX29)+MINUTE(BA29-AX29)/60,0),0)-BP29</f>
        <v>0</v>
      </c>
      <c r="BU29" s="13" t="n">
        <f aca="false">IFERROR(IF(C29=C29,HOUR(BA29-AX29)+MINUTE(BA29-AX29)/60,0),0)-BQ29</f>
        <v>0</v>
      </c>
      <c r="BV29" s="13" t="n">
        <f aca="false">IF(C29=C29,IF(P29="Remain Lates",(IFERROR(IF(N29="Strict",IF(C29=C29,IF(AQ29&lt;=AR29,HOUR(AR29-AQ29)+(MINUTE(AR29-AQ29)/60),0)+IF(BB29&lt;=BC29,HOUR(BC29-BB29)+(MINUTE(BC29-BB29)/60),0),0),IF(BW29=0,0,(8-BW29))),0)-(O29/60)),IF((O29/60)&gt;=IFERROR(IF(N29="Strict",IF(C29=C29,IF(AQ29&lt;=AR29,HOUR(AR29-AQ29)+(MINUTE(AR29-AQ29)/60),0)+IF(BB29&lt;=BC29,HOUR(BC29-BB29)+(MINUTE(BC29-BB29)/60),0),0),IF(BW29=0,0,(8-BW29))),0),0,IFERROR(IF(N29="Strict",IF(C29=C29,IF(AQ29&lt;=AR29,HOUR(AR29-AQ29)+(MINUTE(AR29-AQ29)/60),0)+IF(BB29&lt;=BC29,HOUR(BC29-BB29)+(MINUTE(BC29-BB29)/60),0),0),IF(BW29=0,0,(8-BW29))),0))),0)</f>
        <v>0</v>
      </c>
      <c r="BW29" s="13" t="n">
        <f aca="false">IFERROR(IF(N29="Strict",IF(C29=C29,IFERROR(IF((HOUR(IF(AQ29&lt;=AR29,BB29-AR29,BB29-AQ29))+MINUTE(IF(AQ29&lt;=AR29,BB29-AR29,BB29-AQ29))/60)&gt;=6,HOUR(IF(AQ29&lt;=AR29,BB29-AR29,BB29-AQ29))+MINUTE(IF(AQ29&lt;=AR29,BB29-AR29,BB29-AQ29))/60-1,HOUR(IF(AQ29&lt;=AR29,BB29-AR29,BB29-AQ29))+MINUTE(IF(AQ29&lt;=AR29,BB29-AR29,BB29-AQ29))/60),0),0),IF(N29="Flexi",IF(C29=C29,IF((HOUR(BB29-AR29)+MINUTE(BB29-AR29)/60)&gt;=6,(HOUR(BB29-AR29)+MINUTE(BB29-AR29)/60)-1,(HOUR(BB29-AR29)+MINUTE(BB29-AR29)/60)),0),0)),0)</f>
        <v>0</v>
      </c>
      <c r="BX29" s="93" t="n">
        <f aca="false">IF(OR(C30="Special Holiday",C30="Working - Legal Holiday on RD",C30="Working - Special Holiday on RD",C30="Legal Holiday",C30="Legal Holiday on RD",C30="Special Holiday on RD",),BN29,0)</f>
        <v>0</v>
      </c>
      <c r="BY29" s="93" t="n">
        <f aca="false">IF(AND(C29="Working - Rest Day",OR(C30="Special Holiday",C30="Working - Legal Holiday on RD",C30="Working - Special Holiday on RD",C30="Legal Holiday",C30="Legal Holiday on RD",C30="Special Holiday on RD",C30="Leave")),BN29,0)</f>
        <v>0</v>
      </c>
      <c r="BZ29" s="93" t="n">
        <f aca="false">IF(AND(C29="Legal Holiday",OR(C30="Special Holiday",C30="Legal Holiday on RD",C30="Special Holiday on RD",C30="Normal",C30="Rest Day",C30="Working - Legal Holiday on RD",C30="Working - Special Holiday on RD",C30="Working - Rest Day",C30="Leave")),BN29,0)</f>
        <v>0</v>
      </c>
      <c r="CA29" s="93" t="n">
        <f aca="false">IF(AND(C29="Special Holiday",OR(C30="Legal Holiday",C30="Working - Legal Holiday on RD",C30="Working - Special Holiday on RD",C30="Normal",C30="Rest Day",C30="Legal Holiday on RD",C30="Special Holiday on RD",C30="Working - Rest Day",C30="Leave")),BN29,0)</f>
        <v>0</v>
      </c>
      <c r="CB29" s="93" t="n">
        <f aca="false">IF(AND(C29="Working - Legal Holiday on RD",OR(C30="Legal Holiday",C30="Special Holiday",C30="Working - Special Holiday on RD",C30="Normal",C30="Rest Day",C30="Special Holiday on RD",C30="Working - Rest Day",C30="Leave")),BN29,0)</f>
        <v>0</v>
      </c>
      <c r="CC29" s="93" t="n">
        <f aca="false">IF(AND(C29="Working - Special Holiday on RD",OR(C30="Legal Holiday",C30="Special Holiday",C30="Working - Legal Holiday on RD",C30="Normal",C30="Rest Day",C30="Leave",C30="Legal Holiday on RD")),BN29,0)</f>
        <v>0</v>
      </c>
      <c r="CD29" s="93" t="n">
        <f aca="false">IF(OR(C28="Special Holiday",C28="Working - Legal Holiday on RD",C28="Working - Special Holiday on RD",C28="Legal Holiday"),BN28,0)</f>
        <v>0</v>
      </c>
      <c r="CE29" s="93" t="n">
        <f aca="false">IF(AND(C29="Working - Rest Day",OR(C28="Special Holiday",C28="Working - Legal Holiday on RD",C28="Working - Special Holiday on RD",C28="Normal",C28="Legal Holiday")),BN28,0)</f>
        <v>0</v>
      </c>
      <c r="CF29" s="93" t="n">
        <f aca="false">IF(AND(OR(C29="Legal Holiday",C29="Legal Holiday on a Rest Day"),OR(C28="Special Holiday",C28="Working - Legal Holiday on RD",C28="Working - Special Holiday on RD",C28="Normal")),BN28,0)</f>
        <v>0</v>
      </c>
      <c r="CG29" s="93" t="n">
        <f aca="false">IF(AND(OR(C29="Special Holiday",C29="Special Holiday on RD"),OR(C28="Legal Holiday",C28="Working - Legal Holiday on RD",C28="Working - Special Holiday on RD",C28="Normal")),BN28,0)</f>
        <v>0</v>
      </c>
      <c r="CH29" s="93" t="n">
        <f aca="false">IF(AND(C29="Working - Legal Holiday on a RD",OR(C28="Legal Holiday",C28="Special Holiday",C28="Working - Special Holiday on RD",C28="Normal")),BN28,0)</f>
        <v>0</v>
      </c>
      <c r="CI29" s="93" t="n">
        <f aca="false">IF(AND(C29="Working - Special Holiday on RD",OR(C28="Legal Holiday",C28="Special Holiday",C28="Working - Legal Holiday on RD",C28="Normal")),BN28,0)</f>
        <v>0</v>
      </c>
      <c r="CJ29" s="93" t="n">
        <f aca="false">IF(OR(C30="Special Holiday",C30="Working - Legal Holiday on RD",C30="Working - Special Holiday on RD",C30="Legal Holiday",C30="Legal Holiday on RD",C30="Special Holiday on RD",),BP29,0)</f>
        <v>0</v>
      </c>
      <c r="CK29" s="93" t="n">
        <f aca="false">IF(AND(C29="Working - Rest Day",OR(C30="Special Holiday",C30="Working - Legal Holiday on RD",C30="Working - Special Holiday on RD",C30="Legal Holiday",C30="Legal Holiday on RD",C30="Special Holiday on RD",C30="Leave")),BP29,0)</f>
        <v>0</v>
      </c>
      <c r="CL29" s="93" t="n">
        <f aca="false">IF(AND(C29="Legal Holiday",OR(C30="Special Holiday",C30="Legal Holiday on RD",C30="Special Holiday on RD",C30="Normal",C30="Rest Day",C30="Working - Legal Holiday on RD",C30="Working - Special Holiday on RD",C30="Working - Rest Day",C30="Leave")),BP29,0)</f>
        <v>0</v>
      </c>
      <c r="CM29" s="93" t="n">
        <f aca="false">IF(AND(C29="Special Holiday",OR(C30="Legal Holiday",C30="Working - Legal Holiday on RD",C30="Working - Special Holiday on RD",C30="Normal",C30="Rest Day",C30="Legal Holiday on RD",C30="Special Holiday on RD",C30="Working - Rest Day",C30="Leave")),BP29,0)</f>
        <v>0</v>
      </c>
      <c r="CN29" s="93" t="n">
        <f aca="false">IF(AND(C29="Working - Legal Holiday on RD",OR(C30="Legal Holiday",C30="Special Holiday",C30="Working - Special Holiday on RD",C30="Normal",C30="Rest Day",C30="Special Holiday on RD",C30="Working - Rest Day",C30="Leave")),BP29,0)</f>
        <v>0</v>
      </c>
      <c r="CO29" s="93" t="n">
        <f aca="false">IF(AND(C29="Working - Special Holiday on RD",OR(C30="Legal Holiday",C30="Special Holiday",C30="Working - Legal Holiday on RD",C30="Normal",C30="Rest Day",C30="Leave",C30="Legal Holiday on RD")),BP29,0)</f>
        <v>0</v>
      </c>
      <c r="CP29" s="93" t="n">
        <f aca="false">IF(OR(C28="Special Holiday",C28="Working - Legal Holiday on RD",C28="Working - Special Holiday on RD",C28="Legal Holiday"),BP28,0)</f>
        <v>0</v>
      </c>
      <c r="CQ29" s="93" t="n">
        <f aca="false">IF(AND(C29="Working - Rest Day",OR(C28="Special Holiday",C28="Working - Legal Holiday on RD",C28="Working - Special Holiday on RD",C28="Normal",C28="Legal Holiday")),BP28,0)</f>
        <v>0</v>
      </c>
      <c r="CR29" s="93" t="n">
        <f aca="false">IF(AND(OR(C29="Legal Holiday",C29="Legal Holiday on a Rest Day"),OR(C28="Special Holiday",C28="Working - Legal Holiday on RD",C28="Working - Special Holiday on RD",C28="Normal")),BP28,0)</f>
        <v>0</v>
      </c>
      <c r="CS29" s="93" t="n">
        <f aca="false">IF(AND(OR(C29="Special Holiday",C29="Special Holiday on RD"),OR(C28="Legal Holiday",C28="Working - Legal Holiday on RD",C28="Working - Special Holiday on RD",C28="Normal")),BP28,0)</f>
        <v>0</v>
      </c>
      <c r="CT29" s="93" t="n">
        <f aca="false">IF(AND(C29="Working - Legal Holiday on a RD",OR(C28="Legal Holiday",C28="Special Holiday",C28="Working - Special Holiday on RD",C28="Normal")),BP28,0)</f>
        <v>0</v>
      </c>
      <c r="CU29" s="93" t="n">
        <f aca="false">IF(AND(C29="Working - Special Holiday on RD",OR(C28="Legal Holiday",C28="Special Holiday",C28="Working - Legal Holiday on RD",C28="Normal")),BP28,0)</f>
        <v>0</v>
      </c>
      <c r="CV29" s="93" t="n">
        <f aca="false">IF(OR(C30="Special Holiday",C30="Working - Legal Holiday on RD",C30="Working - Special Holiday on RD",C30="Legal Holiday",C30="Legal Holiday on RD",C30="Special Holiday on RD",),BQ29,0)</f>
        <v>0</v>
      </c>
      <c r="CW29" s="93" t="n">
        <f aca="false">IF(AND(C29="Working - Rest Day",OR(C30="Special Holiday",C30="Working - Legal Holiday on RD",C30="Working - Special Holiday on RD",C30="Legal Holiday",C30="Legal Holiday on RD",C30="Special Holiday on RD",C30="Leave")),BQ29,0)</f>
        <v>0</v>
      </c>
      <c r="CX29" s="93" t="n">
        <f aca="false">IF(AND(C29="Legal Holiday",OR(C30="Special Holiday",C30="Legal Holiday on RD",C30="Special Holiday on RD",C30="Normal",C30="Rest Day",C30="Working - Legal Holiday on RD",C30="Working - Special Holiday on RD",C30="Working - Rest Day",C30="Leave")),BQ29,0)</f>
        <v>0</v>
      </c>
      <c r="CY29" s="93" t="n">
        <f aca="false">IF(AND(C29="Special Holiday",OR(C30="Legal Holiday",C30="Working - Legal Holiday on RD",C30="Working - Special Holiday on RD",C30="Normal",C30="Rest Day",C30="Legal Holiday on RD",C30="Special Holiday on RD",C30="Working - Rest Day",C30="Leave")),BQ29,0)</f>
        <v>0</v>
      </c>
      <c r="CZ29" s="93" t="n">
        <f aca="false">IF(AND(C29="Working - Legal Holiday on RD",OR(C30="Legal Holiday",C30="Special Holiday",C30="Working - Special Holiday on RD",C30="Normal",C30="Rest Day",C30="Special Holiday on RD",C30="Working - Rest Day",C30="Leave")),BQ29,0)</f>
        <v>0</v>
      </c>
      <c r="DA29" s="93" t="n">
        <f aca="false">IF(AND(C29="Working - Special Holiday on RD",OR(C30="Legal Holiday",C30="Special Holiday",C30="Working - Legal Holiday on RD",C30="Normal",C30="Rest Day",C30="Leave",C30="Legal Holiday on RD")),BQ29,0)</f>
        <v>0</v>
      </c>
      <c r="DB29" s="93" t="n">
        <f aca="false">IF(OR(C28="Special Holiday",C28="Working - Legal Holiday on RD",C28="Working - Special Holiday on RD",C28="Legal Holiday"),BQ28,0)</f>
        <v>0</v>
      </c>
      <c r="DC29" s="93" t="n">
        <f aca="false">IF(AND(C29="Working - Rest Day",OR(C28="Special Holiday",C28="Working - Legal Holiday on RD",C28="Working - Special Holiday on RD",C28="Normal",C28="Legal Holiday")),BQ28,0)</f>
        <v>0</v>
      </c>
      <c r="DD29" s="93" t="n">
        <f aca="false">IF(AND(OR(C29="Legal Holiday",C29="Legal Holiday on a Rest Day"),OR(C28="Special Holiday",C28="Working - Legal Holiday on RD",C28="Working - Special Holiday on RD",C28="Normal")),BQ28,0)</f>
        <v>0</v>
      </c>
      <c r="DE29" s="93" t="n">
        <f aca="false">IF(AND(OR(C29="Special Holiday",C29="Special Holiday on RD"),OR(C28="Legal Holiday",C28="Working - Legal Holiday on RD",C28="Working - Special Holiday on RD",C28="Normal")),BQ28,0)</f>
        <v>0</v>
      </c>
      <c r="DF29" s="93" t="n">
        <f aca="false">IF(AND(C29="Working - Legal Holiday on a RD",OR(C28="Legal Holiday",C28="Special Holiday",C28="Working - Special Holiday on RD",C28="Normal")),BQ28,0)</f>
        <v>0</v>
      </c>
      <c r="DG29" s="93" t="n">
        <f aca="false">IF(AND(C29="Working - Special Holiday on RD",OR(C28="Legal Holiday",C28="Special Holiday",C28="Working - Legal Holiday on RD",C28="Normal")),BQ28,0)</f>
        <v>0</v>
      </c>
      <c r="DH29" s="93" t="n">
        <f aca="false">IF(OR(C30="Special Holiday",C30="Working - Legal Holiday on RD",C30="Working - Special Holiday on RD",C30="Legal Holiday",C30="Legal Holiday on RD",C30="Special Holiday on RD",),BO29,0)</f>
        <v>0</v>
      </c>
      <c r="DI29" s="93" t="n">
        <f aca="false">IF(AND(C29="Working - Rest Day",OR(C30="Special Holiday",C30="Working - Legal Holiday on RD",C30="Working - Special Holiday on RD",C30="Legal Holiday",C30="Legal Holiday on RD",C30="Special Holiday on RD",C30="Leave")),BO29,0)</f>
        <v>0</v>
      </c>
      <c r="DJ29" s="93" t="n">
        <f aca="false">IF(AND(C29="Legal Holiday",OR(C30="Special Holiday",C30="Legal Holiday on RD",C30="Special Holiday on RD",C30="Normal",C30="Rest Day",C30="Working - Legal Holiday on RD",C30="Working - Special Holiday on RD",C30="Working - Rest Day",C30="Leave")),BO29,0)</f>
        <v>0</v>
      </c>
      <c r="DK29" s="93" t="n">
        <f aca="false">IF(AND(C29="Special Holiday",OR(C30="Legal Holiday",C30="Working - Legal Holiday on RD",C30="Working - Special Holiday on RD",C30="Normal",C30="Rest Day",C30="Legal Holiday on RD",C30="Special Holiday on RD",C30="Working - Rest Day",C30="Leave")),BO29,0)</f>
        <v>0</v>
      </c>
      <c r="DL29" s="93" t="n">
        <f aca="false">IF(AND(C29="Working - Legal Holiday on RD",OR(C30="Legal Holiday",C30="Special Holiday",C30="Working - Special Holiday on RD",C30="Normal",C30="Rest Day",C30="Special Holiday on RD",C30="Working - Rest Day",C30="Leave")),BO29,0)</f>
        <v>0</v>
      </c>
      <c r="DM29" s="93" t="n">
        <f aca="false">IF(AND(C29="Working - Special Holiday on RD",OR(C30="Legal Holiday",C30="Special Holiday",C30="Working - Legal Holiday on RD",C30="Normal",C30="Rest Day",C30="Leave",C30="Legal Holiday on RD")),BO29,0)</f>
        <v>0</v>
      </c>
      <c r="DN29" s="93" t="n">
        <f aca="false">IF(OR(C28="Special Holiday",C28="Working - Legal Holiday on RD",C28="Working - Special Holiday on RD",C28="Legal Holiday"),BO28,0)</f>
        <v>0</v>
      </c>
      <c r="DO29" s="93" t="n">
        <f aca="false">IF(AND(C29="Working - Rest Day",OR(C28="Special Holiday",C28="Working - Legal Holiday on RD",C28="Working - Special Holiday on RD",C28="Normal",C28="Legal Holiday")),BO28,0)</f>
        <v>0</v>
      </c>
      <c r="DP29" s="93" t="n">
        <f aca="false">IF(AND(OR(C29="Legal Holiday",C29="Legal Holiday on a Rest Day"),OR(C28="Special Holiday",C28="Working - Legal Holiday on RD",C28="Working - Special Holiday on RD",C28="Normal")),BO28,0)</f>
        <v>0</v>
      </c>
      <c r="DQ29" s="93" t="n">
        <f aca="false">IF(AND(OR(C29="Special Holiday",C29="Special Holiday on RD"),OR(C28="Legal Holiday",C28="Working - Legal Holiday on RD",C28="Working - Special Holiday on RD",C28="Normal")),BO28,0)</f>
        <v>0</v>
      </c>
      <c r="DR29" s="93" t="n">
        <f aca="false">IF(AND(C29="Working - Legal Holiday on a RD",OR(C28="Legal Holiday",C28="Special Holiday",C28="Working - Special Holiday on RD",C28="Normal")),BO28,0)</f>
        <v>0</v>
      </c>
      <c r="DS29" s="93" t="n">
        <f aca="false">IF(AND(C29="Working - Special Holiday on RD",OR(C28="Legal Holiday",C28="Special Holiday",C28="Working - Legal Holiday on RD",C28="Normal")),BO28,0)</f>
        <v>0</v>
      </c>
    </row>
    <row r="30" s="6" customFormat="true" ht="14.25" hidden="true" customHeight="false" outlineLevel="0" collapsed="false">
      <c r="A30" s="79" t="n">
        <v>46205</v>
      </c>
      <c r="B30" s="80" t="str">
        <f aca="false">TEXT(WEEKDAY(A30),"ddd")</f>
        <v>Thu</v>
      </c>
      <c r="C30" s="81"/>
      <c r="D30" s="82"/>
      <c r="E30" s="79"/>
      <c r="F30" s="82"/>
      <c r="G30" s="82"/>
      <c r="H30" s="82"/>
      <c r="I30" s="83" t="n">
        <f aca="false">IFERROR(IF(N30="Strict",IF(C30="Normal",IFERROR(IF((HOUR(IF(AQ30&lt;=AR30,BB30-AR30,BB30-AQ30))+MINUTE(IF(AQ30&lt;=AR30,BB30-AR30,BB30-AQ30))/60)&gt;=6,HOUR(IF(AQ30&lt;=AR30,BB30-AR30,BB30-AQ30))+MINUTE(IF(AQ30&lt;=AR30,BB30-AR30,BB30-AQ30))/60-1,HOUR(IF(AQ30&lt;=AR30,BB30-AR30,BB30-AQ30))+MINUTE(IF(AQ30&lt;=AR30,BB30-AR30,BB30-AQ30))/60),0),0),IF(N30="Flexi",IF(C30="Normal",IF((HOUR(BB30-AR30)+MINUTE(BB30-AR30)/60)&gt;=6,(HOUR(BB30-AR30)+MINUTE(BB30-AR30)/60)-1,(HOUR(BB30-AR30)+MINUTE(BB30-AR30)/60)),0),0)),0)</f>
        <v>0</v>
      </c>
      <c r="J30" s="82"/>
      <c r="K30" s="79"/>
      <c r="L30" s="84"/>
      <c r="M30" s="79"/>
      <c r="N30" s="79"/>
      <c r="O30" s="85"/>
      <c r="P30" s="79"/>
      <c r="Q30" s="98"/>
      <c r="R30" s="87" t="n">
        <f aca="false">IF(AND(C30="Normal",I30&gt;0),(8-S30),0)-IF(AND(C30="Normal",OR(C31="Special Holiday",C31="Working - Legal Holiday on RD",C31="Working - Special Holiday on RD",C31="Legal Holiday",C31="Legal Holiday on RD",C31="Special Holiday on RD")),BN30,0)+IF(AND(OR(C30="Normal",C30="Leave",C30="Rest Day"),OR(C29="Special Holiday",C29="Working - Legal Holiday on RD",C29="Working - Special Holiday on RD",C29="Legal Holiday")),BN29,0)</f>
        <v>0</v>
      </c>
      <c r="S30" s="87" t="n">
        <f aca="false">IF(C30="Normal",IF(P30="Remain Lates",(IFERROR(IF(N30="Strict",IF(C30="Normal",IF(AQ30&lt;=AR30,HOUR(AR30-AQ30)+(MINUTE(AR30-AQ30)/60),0)+IF(BB30&lt;=BC30,HOUR(BC30-BB30)+(MINUTE(BC30-BB30)/60),0),0),IF(I30=0,0,(8-I30))),0)-(O30/60)),IF((O30/60)&gt;=IFERROR(IF(N30="Strict",IF(C30="Normal",IF(AQ30&lt;=AR30,HOUR(AR30-AQ30)+(MINUTE(AR30-AQ30)/60),0)+IF(BB30&lt;=BC30,HOUR(BC30-BB30)+(MINUTE(BC30-BB30)/60),0),0),IF(I30=0,0,(8-I30))),0),0,IFERROR(IF(N30="Strict",IF(C30="Normal",IF(AQ30&lt;=AR30,HOUR(AR30-AQ30)+(MINUTE(AR30-AQ30)/60),0)+IF(BB30&lt;=BC30,HOUR(BC30-BB30)+(MINUTE(BC30-BB30)/60),0),0),IF(I30=0,0,(8-I30))),0))),0)</f>
        <v>0</v>
      </c>
      <c r="T30" s="88" t="n">
        <f aca="false">IF(AND(C30="Working - Rest Day",BW30&gt;0),(8-IF(BV30&gt;6,BV30-1,BV30)),0)-IF(AND(C30="Working - Rest Day",OR(C31="Special Holiday",C31="Working - Legal Holiday on RD",C31="Working - Special Holiday on RD",C31="Legal Holiday",C31="Legal Holiday on RD",C31="Special Holiday on RD")),BN30,0)+IF(AND(C30="Working - Rest Day",OR(C29="Special Holiday",C29="Working - Legal Holiday on RD",C29="Working - Special Holiday on RD",C29="Legal Holiday")),BN29,0)</f>
        <v>0</v>
      </c>
      <c r="U30" s="88" t="n">
        <f aca="false">IF(AND(C30="Legal Holiday",BW30&gt;0),(8-IF(BV30&gt;6,BV30-1,BV30)),0)-IF(AND(C30="Legal Holiday",OR(C31="Special Holiday",C31="Legal Holiday on RD",C31="Special Holiday on RD",C31="Normal",C31="Rest Day",C31="Working - Legal Holiday on RD",C31="Working - Special Holiday on RD",C31="Working - Rest Day",C31="Leave")),BN30,0)+IF(AND(OR(C30="Legal Holiday",C30="Legal Holiday on RD"),OR(C29="Special Holiday",C29="Working - Legal Holiday on RD",C29="Working - Special Holiday on RD",C29="Normal",C29="Working - Rest Day")),BN29,0)</f>
        <v>0</v>
      </c>
      <c r="V30" s="88" t="n">
        <f aca="false">IF(AND(C30="Special Holiday",BW30&gt;0),(8-IF(BV30&gt;6,BV30-1,BV30)),0)-IF(AND(C30="Special Holiday",OR(C31="Legal Holiday",C31="Working - Legal Holiday on RD",C31="Working - Special Holiday on RD",C31="Normal",C31="Rest Day",C31="Legal Holiday on RD",C31="Special Holiday on RD",C31="Working - Rest Day",C31="Leave")),BN30,0)+IF(AND(OR(C30="Special Holiday",C30="Special Holiday on RD"),OR(C29="Legal Holiday",C29="Working - Legal Holiday on RD",C29="Working - Special Holiday on RD",C29="Working - Rest Day",C29="Normal")),BN29,0)</f>
        <v>0</v>
      </c>
      <c r="W30" s="88" t="n">
        <f aca="false">IF(AND(C30="Working - Legal Holiday on RD",BW30&gt;0),(8-IF(BV30&gt;6,BV30-1,BV30)),0)-IF(AND(C30="Working - Legal Holiday on RD",OR(C31="Legal Holiday",C31="Special Holiday",C31="Working - Special Holiday on RD",C31="Normal",C31="Rest Day",C31="Special Holiday on RD",C31="Working - Rest Day",C31="Leave")),BN30,0)+IF(AND(C30="Working - Legal Holiday on RD",OR(C29="Legal Holiday",C29="Special Holiday",C29="Working - Special Holiday on RD",C29="Working - Rest Day",C29="Normal")),BN29,0)</f>
        <v>0</v>
      </c>
      <c r="X30" s="88" t="n">
        <f aca="false">IF(AND(C30="Working - Special Holiday on RD",BW30&gt;0),(8-IF(BV30&gt;6,BV30-1,BV30)),0)-IF(AND(C30="Working - Special Holiday on RD",OR(C31="Legal Holiday",C31="Special Holiday",C31="Working - Legal Holiday on RD",C31="Normal",C31="Rest Day",C31="Leave",C31="Working - Rest Day",C31="Legal Holiday on RD")),BN30,0)+IF(AND(C30="Working - Special Holiday on RD",OR(C29="Legal Holiday",C29="Special Holiday",C29="Working - Legal Holiday on RD",C29="Normal",C29="Working - Rest Day")),BN29,0)</f>
        <v>0</v>
      </c>
      <c r="Y30" s="88" t="n">
        <f aca="false">IFERROR(IF(C30="Normal",HOUR(AY30-AV30)+MINUTE(AY30-AV30)/60,0),0)-IFERROR(IF(C30="Normal",HOUR(BA30-AX30)+MINUTE(BA30-AX30)/60,0),0)-IF(AND(C30="Normal",OR(C31="Special Holiday",C31="Working - Legal Holiday on RD",C31="Working - Special Holiday on RD",C31="Legal Holiday",C31="Legal Holiday on RD",C31="Special Holiday on RD")),BP30,0)+IF(AND(OR(C30="Normal",C30="Rest Day",C30="Leave"),OR(C29="Special Holiday",C29="Working - Legal Holiday on RD",C29="Working - Special Holiday on RD",C29="Legal Holiday")),BP29,0)</f>
        <v>0</v>
      </c>
      <c r="Z30" s="88" t="n">
        <f aca="false">IFERROR(IF(C30="Working - Rest Day",HOUR(AY30-AV30)+MINUTE(AY30-AV30)/60,0),0)-IFERROR(IF(C30="Working - Rest Day",HOUR(BA30-AX30)+MINUTE(BA30-AX30)/60,0),0)-IF(AND(C30="Working - Rest Day",OR(C31="Special Holiday",C31="Working - Legal Holiday on RD",C31="Working - Special Holiday on RD",C31="Legal Holiday",C31="Legal Holiday on RD",C31="Special Holiday on RD")),BP30,0)+IF(AND(C30="Working - Rest Day",OR(C29="Special Holiday",C29="Working - Legal Holiday on RD",C29="Working - Special Holiday on RD",C29="Legal Holiday")),BP29,0)</f>
        <v>0</v>
      </c>
      <c r="AA30" s="88" t="n">
        <f aca="false">IFERROR(IF(C30="Legal Holiday",HOUR(AY30-AV30)+MINUTE(AY30-AV30)/60,0),0)-IFERROR(IF(C30="Legal Holiday",HOUR(BA30-AX30)+MINUTE(BA30-AX30)/60,0),0)-IF(AND(C30="Legal Holiday",OR(C31="Special Holiday",C31="Legal Holiday on RD",C31="Special Holiday on RD",C31="Normal",C31="Rest Day",C31="Working - Legal Holiday on RD",C31="Working - Special Holiday on RD",C31="Working - Rest Day",C31="Leave")),BP30,0)+IF(AND(OR(C30="Legal Holiday",C30="Legal Holiday on RD"),OR(C29="Special Holiday",C29="Working - Legal Holiday on RD",C29="Working - Special Holiday on RD",C29="Normal",C29="Working - Rest Day")),BP29,0)</f>
        <v>0</v>
      </c>
      <c r="AB30" s="88" t="n">
        <f aca="false">IFERROR(IF(C30="Special Holiday",HOUR(AY30-AV30)+MINUTE(AY30-AV30)/60,0),0)-IFERROR(IF(C30="Special Holiday",HOUR(BA30-AX30)+MINUTE(BA30-AX30)/60,0),0)-IF(AND(C30="Special Holiday",OR(C31="Legal Holiday",C31="Working - Legal Holiday on RD",C31="Working - Special Holiday on RD",C31="Normal",C31="Rest Day",C31="Legal Holiday on RD",C31="Special Holiday on RD",C31="Working - Rest Day",C31="Leave")),BP30,0)+IF(AND(OR(C30="Special Holiday",C30="Special Holiday on RD"),OR(C29="Legal Holiday",C29="Working - Legal Holiday on RD",C29="Working - Special Holiday on RD",C29="Normal",C29="Working - Rest Day")),BP29,0)</f>
        <v>0</v>
      </c>
      <c r="AC30" s="88" t="n">
        <f aca="false">IFERROR(IF(C30="Working - Legal Holiday on RD",HOUR(AY30-AV30)+MINUTE(AY30-AV30)/60,0),0)-IFERROR(IF(C30="Working - Legal Holiday on RD",HOUR(BA30-AX30)+MINUTE(BA30-AX30)/60,0),0)-IF(AND(C30="Working - Legal Holiday on RD",OR(C31="Legal Holiday",C31="Special Holiday",C31="Working - Special Holiday on RD",C31="Normal",C31="Rest Day",C31="Special Holiday on RD",C31="Working - Rest Day",C31="Leave")),BP30,0)+IF(AND(C30="Working - Legal Holiday on RD",OR(C29="Legal Holiday",C29="Special Holiday",C29="Working - Special Holiday on RD",C29="Normal",C29="Working - Rest Day")),BP29,0)</f>
        <v>0</v>
      </c>
      <c r="AD30" s="88" t="n">
        <f aca="false">IFERROR(IF(C30="Working - Special Holiday on RD",HOUR(AY30-AV30)+MINUTE(AY30-AV30)/60,0),0)-IFERROR(IF(C30="Working - Special Holiday on RD",HOUR(BA30-AX30)+MINUTE(BA30-AX30)/60,0),0)-IF(AND(C30="Working - Special Holiday on RD",OR(C31="Legal Holiday",C31="Special Holiday",C31="Working - Legal Holiday on RD",C31="Normal",C31="Rest Day",C31="Working - Rest Day",C31="Leave",C31="Legal Holiday on RD")),BP30,0)+IF(AND(C30="Working - Special Holiday on RD",OR(C29="Legal Holiday",C29="Special Holiday",C29="Working - Legal Holiday on RD",C29="Normal",C29="Working - Rest Day")),BP29,0)</f>
        <v>0</v>
      </c>
      <c r="AE30" s="88" t="n">
        <f aca="false">IFERROR(IF(C30="Normal",HOUR(BA30-AX30)+MINUTE(BA30-AX30)/60,0),0)-IF(AND(C30="Normal",OR(C31="Special Holiday",C31="Working - Legal Holiday on RD",C31="Working - Special Holiday on RD",C31="Legal Holiday",C31="Legal Holiday on RD",C31="Special Holiday on RD")),BQ30,0)+IF(AND(OR(C30="Normal",C30="Rest Day",C30="Leave"),OR(C29="Special Holiday",C29="Working - Legal Holiday on RD",C29="Working - Special Holiday on RD",C29="Legal Holiday")),BQ29,0)</f>
        <v>0</v>
      </c>
      <c r="AF30" s="88" t="n">
        <f aca="false">IFERROR(IF(C30="Working - Rest Day",HOUR(BA30-AX30)+MINUTE(BA30-AX30)/60,0),0)-IF(AND(C30="Working - Rest Day",OR(C31="Special Holiday",C31="Working - Legal Holiday on RD",C31="Working - Special Holiday on RD",C31="Legal Holiday",C31="Legal Holiday on RD",C31="Special Holiday on RD")),BQ30,0)+IF(AND(C30="Working - Rest Day",OR(C29="Special Holiday",C29="Working - Legal Holiday on RD",C29="Working - Special Holiday on RD",C29="Legal Holiday")),BQ29,0)</f>
        <v>0</v>
      </c>
      <c r="AG30" s="88" t="n">
        <f aca="false">IFERROR(IF(C30="Legal Holiday",HOUR(BA30-AX30)+MINUTE(BA30-AX30)/60,0),0)-IF(AND(C30="Legal Holiday",OR(C31="Special Holiday",C31="Legal Holiday on RD",C31="Special Holiday on RD",C31="Normal",C31="Rest Day",C31="Working - Legal Holiday on RD",C31="Working - Special Holiday on RD",C31="Working - Rest Day",C31="Leave")),BQ30,0)+IF(AND(OR(C30="Legal Holiday",C30="Legal Holiday on RD"),OR(C29="Special Holiday",C29="Working - Legal Holiday on RD",C29="Working - Special Holiday on RD",C29="Normal",C29="Working - Rest Day")),BQ29,0)</f>
        <v>0</v>
      </c>
      <c r="AH30" s="88" t="n">
        <f aca="false">IFERROR(IF(C30="Special Holiday",HOUR(BA30-AX30)+MINUTE(BA30-AX30)/60,0),0)-IF(AND(C30="Special Holiday",OR(C31="Legal Holiday",C31="Working - Legal Holiday on RD",C31="Working - Special Holiday on RD",C31="Normal",C31="Rest Day",C31="Legal Holiday on RD",C31="Special Holiday on RD",C31="Working - Rest Day",C31="Leave")),BQ30,0)+IF(AND(OR(C30="Special Holiday",C30="Special Holiday on RD"),OR(C29="Legal Holiday",C29="Working - Legal Holiday on RD",C29="Working - Special Holiday on RD",C29="Normal",C29="Working - Rest Day")),BQ29,0)</f>
        <v>0</v>
      </c>
      <c r="AI30" s="88" t="n">
        <f aca="false">IFERROR(IF(C30="Working - Legal Holiday on RD",HOUR(BA30-AX30)+MINUTE(BA30-AX30)/60,0),0)-IF(AND(C30="Working - Legal Holiday on RD",OR(C31="Legal Holiday",C31="Special Holiday",C31="Working - Special Holiday on RD",C31="Normal",C31="Rest Day",C31="Special Holiday on RD",C31="Working - Rest Day",C31="Leave")),BQ30,0)+IF(AND(C30="Working - Legal Holiday on RD",OR(C29="Legal Holiday",C29="Special Holiday",C29="Working - Special Holiday on RD",C29="Normal",C29="Working - Rest Day")),BQ29,0)</f>
        <v>0</v>
      </c>
      <c r="AJ30" s="88" t="n">
        <f aca="false">IFERROR(IF(C30="Working - Special Holiday on RD",HOUR(BA30-AX30)+MINUTE(BA30-AX30)/60,0),0)-IF(AND(C30="Working - Special Holiday on RD",OR(C31="Legal Holiday",C31="Special Holiday",C31="Working - Legal Holiday on RD",C31="Normal",C31="Rest Day",C31="Working - Rest Day",C31="Leave",C31="Legal Holiday on RD")),BQ30,0)+IF(AND(C30="Working - Special Holiday on RD",OR(C29="Legal Holiday",C29="Special Holiday",C29="Working - Legal Holiday on RD",C29="Normal",C29="Working - Rest Day")),BQ29,0)</f>
        <v>0</v>
      </c>
      <c r="AK30" s="88" t="n">
        <f aca="false">IFERROR(IF(C30="Normal",HOUR(BF30-AU30)+(MINUTE(BF30-AU30)/60),0),0)-IF(AND(C30="Normal",OR(C31="Special Holiday",C31="Working - Legal Holiday on RD",C31="Working - Special Holiday on RD",C31="Legal Holiday",C31="Legal Holiday on RD",C31="Special Holiday on RD")),BO30,0)+IF(AND(OR(C30="Normal",C30="Rest Day",C30="Leave"),OR(C29="Special Holiday",C29="Working - Legal Holiday on RD",C29="Working - Special Holiday on RD",C29="Legal Holiday")),BO29,0)</f>
        <v>0</v>
      </c>
      <c r="AL30" s="88" t="n">
        <f aca="false">IFERROR(IF(C30="Working - Rest Day",HOUR(BF30-AU30)+(MINUTE(BF30-AU30)/60),0),0)-IF(AND(C30="Working - Rest Day",OR(C31="Special Holiday",C31="Working - Legal Holiday on RD",C31="Working - Special Holiday on RD",C31="Legal Holiday",C31="Legal Holiday on RD",C31="Special Holiday on RD")),BO30,0)+IF(AND(C30="Working - Rest Day",OR(C29="Special Holiday",C29="Working - Legal Holiday on RD",C29="Working - Special Holiday on RD",C29="Legal Holiday")),BO29,0)</f>
        <v>0</v>
      </c>
      <c r="AM30" s="88" t="n">
        <f aca="false">IFERROR(IF(C30="Legal Holiday",HOUR(BF30-AU30)+(MINUTE(BF30-AU30)/60),0),0)-IF(AND(C30="Legal Holiday",OR(C31="Special Holiday",C31="Legal Holiday on RD",C31="Special Holiday on RD",C31="Normal",C31="Rest Day",C31="Working - Legal Holiday on RD",C31="Working - Special Holiday on RD",C31="Working - Rest Day",C31="Leave")),BO30,0)+IF(AND(OR(C30="Legal Holiday",C30="Legal Holiday on RD"),OR(C29="Special Holiday",C29="Working - Legal Holiday on RD",C29="Working - Special Holiday on RD",C29="Normal",C29="Working - Rest Day")),BO29,0)</f>
        <v>0</v>
      </c>
      <c r="AN30" s="88" t="n">
        <f aca="false">IFERROR(IF(C30="Special Holiday",HOUR(BF30-AU30)+(MINUTE(BF30-AU30)/60),0),0)-IF(AND(C30="Special Holiday",OR(C31="Legal Holiday",C31="Working - Legal Holiday on RD",C31="Working - Special Holiday on RD",C31="Normal",C31="Rest Day",C31="Legal Holiday on RD",C31="Special Holiday on RD",C31="Working - Rest Day",C31="Leave")),BO30,0)+IF(AND(OR(C30="Special Holiday",C30="Special Holiday on RD"),OR(C29="Legal Holiday",C29="Working - Legal Holiday on RD",C29="Working - Special Holiday on RD",C29="Normal",C29="Working - Rest Day")),BO29,0)</f>
        <v>0</v>
      </c>
      <c r="AO30" s="88" t="n">
        <f aca="false">IFERROR(IF(C30="Working - Legal Holiday on RD",HOUR(BF30-AU30)+(MINUTE(BF30-AU30)/60),0),0)-IF(AND(C30="Working - Legal Holiday on RD",OR(C31="Legal Holiday",C31="Special Holiday",C31="Working - Special Holiday on RD",C31="Normal",C31="Rest Day",C31="Special Holiday on RD",C31="Working - Rest Day",C31="Leave")),BO30,0)+IF(AND(C30="Working - Legal Holiday on RD",OR(C29="Legal Holiday",C29="Special Holiday",C29="Working - Special Holiday on RD",C29="Normal",C29="Working - Rest Day")),BO29,0)</f>
        <v>0</v>
      </c>
      <c r="AP30" s="88" t="n">
        <f aca="false">IFERROR(IF(C30="Working - Special Holiday on RD",HOUR(BF30-AU30)+(MINUTE(BF30-AU30)/60),0),0)-IF(AND(C30="Working - Special Holiday on RD",OR(C31="Legal Holiday",C31="Special Holiday",C31="Working - Legal Holiday on RD",C31="Normal",C31="Rest Day",C31="Working - Rest Day",C31="Leave",C31="Legal Holiday on RD")),BO30,0)+IF(AND(C30="Working - Special Holiday on RD",OR(C29="Legal Holiday",C29="Special Holiday",C29="Working - Legal Holiday on RD",C29="Normal",C29="Working - Rest Day")),BO29,0)</f>
        <v>0</v>
      </c>
      <c r="AQ30" s="89" t="str">
        <f aca="false">TEXT(D30,"HH:MM")&amp;" "&amp;TEXT(A30,"DD-mmm-YY")</f>
        <v>00:00 02-Jul-26</v>
      </c>
      <c r="AR30" s="89" t="str">
        <f aca="false">TEXT(G30,"HH:MM")&amp;" "&amp;TEXT(A30,"DD-mmm-YY")</f>
        <v>00:00 02-Jul-26</v>
      </c>
      <c r="AS30" s="60" t="str">
        <f aca="false">IF($AR$1&lt;D30,AR30,IF(AT30&lt;=AR30,AR30,AT30))</f>
        <v>22:00 01-Jul-26</v>
      </c>
      <c r="AT30" s="60" t="str">
        <f aca="false">IF(AND(D30&gt;=0,D30&lt;0.25),TEXT($AR$1,"HH:MM")&amp;" "&amp;TEXT((A30-1),"dd-mmm-yy"),TEXT($AR$1,"HH:MM")&amp;" "&amp;TEXT(A30,"dd-mmm-yy"))</f>
        <v>22:00 01-Jul-26</v>
      </c>
      <c r="AU30" s="40" t="e">
        <f aca="false" t="array" ref="AU30:AU30">MAX(AQ30:AS30+0)</f>
        <v>#VALUE!</v>
      </c>
      <c r="AV30" s="60" t="str">
        <f aca="false">TEXT(J30,"HH:MM")&amp;" "&amp;TEXT(K30,"DD-mmm-YY")</f>
        <v>00:00 00-Jan-00</v>
      </c>
      <c r="AW30" s="60" t="str">
        <f aca="false">IF(K30&lt;A30,TEXT($AR$1,"HH:MM")&amp;" "&amp;TEXT((A30-1),"dd-mmm-yy"),IF(AND(D30&gt;0,D30&lt;0.25,L30&lt;0.916666666666667,A30&lt;M30),TEXT($AR$1,"HH:MM")&amp;" "&amp;TEXT((A30-1),"dd-mmm-yy"),TEXT($AR$1,"HH:MM")&amp;" "&amp;TEXT(A30,"dd-mmm-yy")))</f>
        <v>22:00 01-Jul-26</v>
      </c>
      <c r="AX30" s="40" t="e">
        <f aca="false" t="array" ref="AX30:AX30">MAX(AV30:AW30+0)</f>
        <v>#VALUE!</v>
      </c>
      <c r="AY30" s="60" t="str">
        <f aca="false">TEXT(L30,"HH:MM")&amp;" "&amp;TEXT(M30,"DD-mmm-YY")</f>
        <v>00:00 00-Jan-00</v>
      </c>
      <c r="AZ30" s="60" t="str">
        <f aca="false">IF(AND(D30&gt;=0,D30&lt;0.25,L30&lt;0.916666666666667,A30&gt;M30),TEXT($AR$2,"HH:MM")&amp;" "&amp;TEXT(A30,"DD-mmm-YY"),TEXT($AR$2,"HH:MM")&amp;" "&amp;TEXT((A30+1),"DD-mmm-YY"))</f>
        <v>06:00 02-Jul-26</v>
      </c>
      <c r="BA30" s="40" t="e">
        <f aca="false" t="array" ref="BA30:BA30">MIN(AY30:AZ30+0)</f>
        <v>#VALUE!</v>
      </c>
      <c r="BB30" s="60" t="str">
        <f aca="false">IF(G30&gt;H30,TEXT(H30,"HH:MM")&amp;" "&amp;TEXT(E30,"DD-mmm-YY"),IF(H30&gt;1,TEXT(H30,"HH:MM")&amp;" "&amp;TEXT(E30,"DD-mmm-YY"),TEXT(H30,"HH:MM")&amp;" "&amp;TEXT(A30,"DD-mmm-YY")))</f>
        <v>00:00 02-Jul-26</v>
      </c>
      <c r="BC30" s="60" t="str">
        <f aca="false">IF(N30="Flexi",TEXT(G30+$BC$1,"HH:MM")&amp;" "&amp;TEXT(E30,"DD-mmm-YY"),TEXT(F30,"HH:MM")&amp;" "&amp;TEXT(E30,"DD-mmm-YY"))</f>
        <v>00:00 00-Jan-00</v>
      </c>
      <c r="BD30" s="90" t="e">
        <f aca="false" t="array" ref="BD30:BD30">MIN(BB30:BC30+0)</f>
        <v>#VALUE!</v>
      </c>
      <c r="BE30" s="60" t="str">
        <f aca="false">IF(D30&gt;0.25,TEXT($AR$2,"HH:MM")&amp;" "&amp;TEXT(IF(BG30&lt;H30,A30+1,E30),"DD-mmm-YY"),IF(D30&gt;=0,TEXT($AR$2,"HH:MM")&amp;" "&amp;TEXT(IF(BG30&lt;H30,A30+1,E30)-1,"DD-mmm-YY"),TEXT($AR$2,"HH:MM")&amp;" "&amp;TEXT(IF(BG30&lt;H30,A30+1,E30),"DD-mmm-YY")))</f>
        <v>06:00 29-Dec-99</v>
      </c>
      <c r="BF30" s="40" t="e">
        <f aca="false" t="array" ref="BF30:BF30">IF(N30="Flexi",IF(AND(BB30&gt;BC30,BB30&lt;BE30),BB30,MIN(BB30:BE30+0)),MIN(BB30:BE30+0))</f>
        <v>#VALUE!</v>
      </c>
      <c r="BG30" s="7" t="n">
        <v>0</v>
      </c>
      <c r="BH30" s="9" t="str">
        <f aca="false">TEXT(BG30,"HH:MM")&amp;" "&amp;TEXT(A30+1,"DD-mmm-YY")</f>
        <v>00:00 03-Jul-26</v>
      </c>
      <c r="BI30" s="9" t="str">
        <f aca="false">AV30</f>
        <v>00:00 00-Jan-00</v>
      </c>
      <c r="BJ30" s="91" t="e">
        <f aca="false" t="array" ref="BJ30:BJ30">MAX(BH30:BI30+0)</f>
        <v>#VALUE!</v>
      </c>
      <c r="BK30" s="9" t="str">
        <f aca="false">TEXT($AR$2,"HH:MM")&amp;" "&amp;TEXT(A30+1,"DD-mmm-YY")</f>
        <v>06:00 03-Jul-26</v>
      </c>
      <c r="BL30" s="9" t="str">
        <f aca="false">AY30</f>
        <v>00:00 00-Jan-00</v>
      </c>
      <c r="BM30" s="91" t="e">
        <f aca="false" t="array" ref="BM30:BM30">MIN(BK30:BL30+0)</f>
        <v>#VALUE!</v>
      </c>
      <c r="BN30" s="13" t="n">
        <f aca="false">IF(IFERROR(IF(E30&gt;A30,IF(BD30&gt;=BD30,HOUR(BD30-BH30)+MINUTE(BD30-BH30)/60,0),0),0)&gt;5,(IFERROR(IF(E30&gt;A30,IF(BD30&gt;=BD30,HOUR(BD30-BH30)+MINUTE(BD30-BH30)/60,0),0),0)-1),IFERROR(IF(E30&gt;A30,IF(BD30&gt;=BD30,HOUR(BD30-BH30)+MINUTE(BD30-BH30)/60,0),0),0))</f>
        <v>0</v>
      </c>
      <c r="BO30" s="13" t="n">
        <f aca="false">IFERROR(IF(E30&gt;A30,HOUR(BF30-BH30)+MINUTE(BF30-BH30)/60,0),0)</f>
        <v>0</v>
      </c>
      <c r="BP30" s="92" t="n">
        <f aca="false">IF(AND(A30&lt;M30,L30&gt;0.25,L30&lt;=0.916666666666667,J30&gt;=0.25),IFERROR(HOUR(AY30-AV30)+MINUTE(AY30-AV30)/60,0),IFERROR(HOUR(AY30-BK30)+MINUTE(AY30-BK30)/60,0))</f>
        <v>0</v>
      </c>
      <c r="BQ30" s="13" t="n">
        <f aca="false">IFERROR(HOUR(BM30-BJ30)+MINUTE(BM30-BJ30)/60,0)</f>
        <v>0</v>
      </c>
      <c r="BR30" s="13" t="n">
        <f aca="false">IF(AND(C30=C30,BW30&gt;0),(8-BV30),0)-BN30</f>
        <v>0</v>
      </c>
      <c r="BS30" s="13" t="n">
        <f aca="false">IFERROR(IF(C30=C30,HOUR(BF30-AU30)+(MINUTE(BF30-AU30)/60),0),0)-BO30</f>
        <v>0</v>
      </c>
      <c r="BT30" s="92" t="n">
        <f aca="false">IFERROR(IF(C30=C30,HOUR(AY30-AV30)+MINUTE(AY30-AV30)/60,0),0)-IFERROR(IF(C30=C30,HOUR(BA30-AX30)+MINUTE(BA30-AX30)/60,0),0)-BP30</f>
        <v>0</v>
      </c>
      <c r="BU30" s="13" t="n">
        <f aca="false">IFERROR(IF(C30=C30,HOUR(BA30-AX30)+MINUTE(BA30-AX30)/60,0),0)-BQ30</f>
        <v>0</v>
      </c>
      <c r="BV30" s="13" t="n">
        <f aca="false">IF(C30=C30,IF(P30="Remain Lates",(IFERROR(IF(N30="Strict",IF(C30=C30,IF(AQ30&lt;=AR30,HOUR(AR30-AQ30)+(MINUTE(AR30-AQ30)/60),0)+IF(BB30&lt;=BC30,HOUR(BC30-BB30)+(MINUTE(BC30-BB30)/60),0),0),IF(BW30=0,0,(8-BW30))),0)-(O30/60)),IF((O30/60)&gt;=IFERROR(IF(N30="Strict",IF(C30=C30,IF(AQ30&lt;=AR30,HOUR(AR30-AQ30)+(MINUTE(AR30-AQ30)/60),0)+IF(BB30&lt;=BC30,HOUR(BC30-BB30)+(MINUTE(BC30-BB30)/60),0),0),IF(BW30=0,0,(8-BW30))),0),0,IFERROR(IF(N30="Strict",IF(C30=C30,IF(AQ30&lt;=AR30,HOUR(AR30-AQ30)+(MINUTE(AR30-AQ30)/60),0)+IF(BB30&lt;=BC30,HOUR(BC30-BB30)+(MINUTE(BC30-BB30)/60),0),0),IF(BW30=0,0,(8-BW30))),0))),0)</f>
        <v>0</v>
      </c>
      <c r="BW30" s="13" t="n">
        <f aca="false">IFERROR(IF(N30="Strict",IF(C30=C30,IFERROR(IF((HOUR(IF(AQ30&lt;=AR30,BB30-AR30,BB30-AQ30))+MINUTE(IF(AQ30&lt;=AR30,BB30-AR30,BB30-AQ30))/60)&gt;=6,HOUR(IF(AQ30&lt;=AR30,BB30-AR30,BB30-AQ30))+MINUTE(IF(AQ30&lt;=AR30,BB30-AR30,BB30-AQ30))/60-1,HOUR(IF(AQ30&lt;=AR30,BB30-AR30,BB30-AQ30))+MINUTE(IF(AQ30&lt;=AR30,BB30-AR30,BB30-AQ30))/60),0),0),IF(N30="Flexi",IF(C30=C30,IF((HOUR(BB30-AR30)+MINUTE(BB30-AR30)/60)&gt;=6,(HOUR(BB30-AR30)+MINUTE(BB30-AR30)/60)-1,(HOUR(BB30-AR30)+MINUTE(BB30-AR30)/60)),0),0)),0)</f>
        <v>0</v>
      </c>
      <c r="BX30" s="93" t="n">
        <f aca="false">IF(OR(C31="Special Holiday",C31="Working - Legal Holiday on RD",C31="Working - Special Holiday on RD",C31="Legal Holiday",C31="Legal Holiday on RD",C31="Special Holiday on RD",),BN30,0)</f>
        <v>0</v>
      </c>
      <c r="BY30" s="93" t="n">
        <f aca="false">IF(AND(C30="Working - Rest Day",OR(C31="Special Holiday",C31="Working - Legal Holiday on RD",C31="Working - Special Holiday on RD",C31="Legal Holiday",C31="Legal Holiday on RD",C31="Special Holiday on RD",C31="Leave")),BN30,0)</f>
        <v>0</v>
      </c>
      <c r="BZ30" s="93" t="n">
        <f aca="false">IF(AND(C30="Legal Holiday",OR(C31="Special Holiday",C31="Legal Holiday on RD",C31="Special Holiday on RD",C31="Normal",C31="Rest Day",C31="Working - Legal Holiday on RD",C31="Working - Special Holiday on RD",C31="Working - Rest Day",C31="Leave")),BN30,0)</f>
        <v>0</v>
      </c>
      <c r="CA30" s="93" t="n">
        <f aca="false">IF(AND(C30="Special Holiday",OR(C31="Legal Holiday",C31="Working - Legal Holiday on RD",C31="Working - Special Holiday on RD",C31="Normal",C31="Rest Day",C31="Legal Holiday on RD",C31="Special Holiday on RD",C31="Working - Rest Day",C31="Leave")),BN30,0)</f>
        <v>0</v>
      </c>
      <c r="CB30" s="93" t="n">
        <f aca="false">IF(AND(C30="Working - Legal Holiday on RD",OR(C31="Legal Holiday",C31="Special Holiday",C31="Working - Special Holiday on RD",C31="Normal",C31="Rest Day",C31="Special Holiday on RD",C31="Working - Rest Day",C31="Leave")),BN30,0)</f>
        <v>0</v>
      </c>
      <c r="CC30" s="93" t="n">
        <f aca="false">IF(AND(C30="Working - Special Holiday on RD",OR(C31="Legal Holiday",C31="Special Holiday",C31="Working - Legal Holiday on RD",C31="Normal",C31="Rest Day",C31="Leave",C31="Legal Holiday on RD")),BN30,0)</f>
        <v>0</v>
      </c>
      <c r="CD30" s="93" t="n">
        <f aca="false">IF(OR(C29="Special Holiday",C29="Working - Legal Holiday on RD",C29="Working - Special Holiday on RD",C29="Legal Holiday"),BN29,0)</f>
        <v>0</v>
      </c>
      <c r="CE30" s="93" t="n">
        <f aca="false">IF(AND(C30="Working - Rest Day",OR(C29="Special Holiday",C29="Working - Legal Holiday on RD",C29="Working - Special Holiday on RD",C29="Normal",C29="Legal Holiday")),BN29,0)</f>
        <v>0</v>
      </c>
      <c r="CF30" s="93" t="n">
        <f aca="false">IF(AND(OR(C30="Legal Holiday",C30="Legal Holiday on a Rest Day"),OR(C29="Special Holiday",C29="Working - Legal Holiday on RD",C29="Working - Special Holiday on RD",C29="Normal")),BN29,0)</f>
        <v>0</v>
      </c>
      <c r="CG30" s="93" t="n">
        <f aca="false">IF(AND(OR(C30="Special Holiday",C30="Special Holiday on RD"),OR(C29="Legal Holiday",C29="Working - Legal Holiday on RD",C29="Working - Special Holiday on RD",C29="Normal")),BN29,0)</f>
        <v>0</v>
      </c>
      <c r="CH30" s="93" t="n">
        <f aca="false">IF(AND(C30="Working - Legal Holiday on a RD",OR(C29="Legal Holiday",C29="Special Holiday",C29="Working - Special Holiday on RD",C29="Normal")),BN29,0)</f>
        <v>0</v>
      </c>
      <c r="CI30" s="93" t="n">
        <f aca="false">IF(AND(C30="Working - Special Holiday on RD",OR(C29="Legal Holiday",C29="Special Holiday",C29="Working - Legal Holiday on RD",C29="Normal")),BN29,0)</f>
        <v>0</v>
      </c>
      <c r="CJ30" s="93" t="n">
        <f aca="false">IF(OR(C31="Special Holiday",C31="Working - Legal Holiday on RD",C31="Working - Special Holiday on RD",C31="Legal Holiday",C31="Legal Holiday on RD",C31="Special Holiday on RD",),BP30,0)</f>
        <v>0</v>
      </c>
      <c r="CK30" s="93" t="n">
        <f aca="false">IF(AND(C30="Working - Rest Day",OR(C31="Special Holiday",C31="Working - Legal Holiday on RD",C31="Working - Special Holiday on RD",C31="Legal Holiday",C31="Legal Holiday on RD",C31="Special Holiday on RD",C31="Leave")),BP30,0)</f>
        <v>0</v>
      </c>
      <c r="CL30" s="93" t="n">
        <f aca="false">IF(AND(C30="Legal Holiday",OR(C31="Special Holiday",C31="Legal Holiday on RD",C31="Special Holiday on RD",C31="Normal",C31="Rest Day",C31="Working - Legal Holiday on RD",C31="Working - Special Holiday on RD",C31="Working - Rest Day",C31="Leave")),BP30,0)</f>
        <v>0</v>
      </c>
      <c r="CM30" s="93" t="n">
        <f aca="false">IF(AND(C30="Special Holiday",OR(C31="Legal Holiday",C31="Working - Legal Holiday on RD",C31="Working - Special Holiday on RD",C31="Normal",C31="Rest Day",C31="Legal Holiday on RD",C31="Special Holiday on RD",C31="Working - Rest Day",C31="Leave")),BP30,0)</f>
        <v>0</v>
      </c>
      <c r="CN30" s="93" t="n">
        <f aca="false">IF(AND(C30="Working - Legal Holiday on RD",OR(C31="Legal Holiday",C31="Special Holiday",C31="Working - Special Holiday on RD",C31="Normal",C31="Rest Day",C31="Special Holiday on RD",C31="Working - Rest Day",C31="Leave")),BP30,0)</f>
        <v>0</v>
      </c>
      <c r="CO30" s="93" t="n">
        <f aca="false">IF(AND(C30="Working - Special Holiday on RD",OR(C31="Legal Holiday",C31="Special Holiday",C31="Working - Legal Holiday on RD",C31="Normal",C31="Rest Day",C31="Leave",C31="Legal Holiday on RD")),BP30,0)</f>
        <v>0</v>
      </c>
      <c r="CP30" s="93" t="n">
        <f aca="false">IF(OR(C29="Special Holiday",C29="Working - Legal Holiday on RD",C29="Working - Special Holiday on RD",C29="Legal Holiday"),BP29,0)</f>
        <v>0</v>
      </c>
      <c r="CQ30" s="93" t="n">
        <f aca="false">IF(AND(C30="Working - Rest Day",OR(C29="Special Holiday",C29="Working - Legal Holiday on RD",C29="Working - Special Holiday on RD",C29="Normal",C29="Legal Holiday")),BP29,0)</f>
        <v>0</v>
      </c>
      <c r="CR30" s="93" t="n">
        <f aca="false">IF(AND(OR(C30="Legal Holiday",C30="Legal Holiday on a Rest Day"),OR(C29="Special Holiday",C29="Working - Legal Holiday on RD",C29="Working - Special Holiday on RD",C29="Normal")),BP29,0)</f>
        <v>0</v>
      </c>
      <c r="CS30" s="93" t="n">
        <f aca="false">IF(AND(OR(C30="Special Holiday",C30="Special Holiday on RD"),OR(C29="Legal Holiday",C29="Working - Legal Holiday on RD",C29="Working - Special Holiday on RD",C29="Normal")),BP29,0)</f>
        <v>0</v>
      </c>
      <c r="CT30" s="93" t="n">
        <f aca="false">IF(AND(C30="Working - Legal Holiday on a RD",OR(C29="Legal Holiday",C29="Special Holiday",C29="Working - Special Holiday on RD",C29="Normal")),BP29,0)</f>
        <v>0</v>
      </c>
      <c r="CU30" s="93" t="n">
        <f aca="false">IF(AND(C30="Working - Special Holiday on RD",OR(C29="Legal Holiday",C29="Special Holiday",C29="Working - Legal Holiday on RD",C29="Normal")),BP29,0)</f>
        <v>0</v>
      </c>
      <c r="CV30" s="93" t="n">
        <f aca="false">IF(OR(C31="Special Holiday",C31="Working - Legal Holiday on RD",C31="Working - Special Holiday on RD",C31="Legal Holiday",C31="Legal Holiday on RD",C31="Special Holiday on RD",),BQ30,0)</f>
        <v>0</v>
      </c>
      <c r="CW30" s="93" t="n">
        <f aca="false">IF(AND(C30="Working - Rest Day",OR(C31="Special Holiday",C31="Working - Legal Holiday on RD",C31="Working - Special Holiday on RD",C31="Legal Holiday",C31="Legal Holiday on RD",C31="Special Holiday on RD",C31="Leave")),BQ30,0)</f>
        <v>0</v>
      </c>
      <c r="CX30" s="93" t="n">
        <f aca="false">IF(AND(C30="Legal Holiday",OR(C31="Special Holiday",C31="Legal Holiday on RD",C31="Special Holiday on RD",C31="Normal",C31="Rest Day",C31="Working - Legal Holiday on RD",C31="Working - Special Holiday on RD",C31="Working - Rest Day",C31="Leave")),BQ30,0)</f>
        <v>0</v>
      </c>
      <c r="CY30" s="93" t="n">
        <f aca="false">IF(AND(C30="Special Holiday",OR(C31="Legal Holiday",C31="Working - Legal Holiday on RD",C31="Working - Special Holiday on RD",C31="Normal",C31="Rest Day",C31="Legal Holiday on RD",C31="Special Holiday on RD",C31="Working - Rest Day",C31="Leave")),BQ30,0)</f>
        <v>0</v>
      </c>
      <c r="CZ30" s="93" t="n">
        <f aca="false">IF(AND(C30="Working - Legal Holiday on RD",OR(C31="Legal Holiday",C31="Special Holiday",C31="Working - Special Holiday on RD",C31="Normal",C31="Rest Day",C31="Special Holiday on RD",C31="Working - Rest Day",C31="Leave")),BQ30,0)</f>
        <v>0</v>
      </c>
      <c r="DA30" s="93" t="n">
        <f aca="false">IF(AND(C30="Working - Special Holiday on RD",OR(C31="Legal Holiday",C31="Special Holiday",C31="Working - Legal Holiday on RD",C31="Normal",C31="Rest Day",C31="Leave",C31="Legal Holiday on RD")),BQ30,0)</f>
        <v>0</v>
      </c>
      <c r="DB30" s="93" t="n">
        <f aca="false">IF(OR(C29="Special Holiday",C29="Working - Legal Holiday on RD",C29="Working - Special Holiday on RD",C29="Legal Holiday"),BQ29,0)</f>
        <v>0</v>
      </c>
      <c r="DC30" s="93" t="n">
        <f aca="false">IF(AND(C30="Working - Rest Day",OR(C29="Special Holiday",C29="Working - Legal Holiday on RD",C29="Working - Special Holiday on RD",C29="Normal",C29="Legal Holiday")),BQ29,0)</f>
        <v>0</v>
      </c>
      <c r="DD30" s="93" t="n">
        <f aca="false">IF(AND(OR(C30="Legal Holiday",C30="Legal Holiday on a Rest Day"),OR(C29="Special Holiday",C29="Working - Legal Holiday on RD",C29="Working - Special Holiday on RD",C29="Normal")),BQ29,0)</f>
        <v>0</v>
      </c>
      <c r="DE30" s="93" t="n">
        <f aca="false">IF(AND(OR(C30="Special Holiday",C30="Special Holiday on RD"),OR(C29="Legal Holiday",C29="Working - Legal Holiday on RD",C29="Working - Special Holiday on RD",C29="Normal")),BQ29,0)</f>
        <v>0</v>
      </c>
      <c r="DF30" s="93" t="n">
        <f aca="false">IF(AND(C30="Working - Legal Holiday on a RD",OR(C29="Legal Holiday",C29="Special Holiday",C29="Working - Special Holiday on RD",C29="Normal")),BQ29,0)</f>
        <v>0</v>
      </c>
      <c r="DG30" s="93" t="n">
        <f aca="false">IF(AND(C30="Working - Special Holiday on RD",OR(C29="Legal Holiday",C29="Special Holiday",C29="Working - Legal Holiday on RD",C29="Normal")),BQ29,0)</f>
        <v>0</v>
      </c>
      <c r="DH30" s="93" t="n">
        <f aca="false">IF(OR(C31="Special Holiday",C31="Working - Legal Holiday on RD",C31="Working - Special Holiday on RD",C31="Legal Holiday",C31="Legal Holiday on RD",C31="Special Holiday on RD",),BO30,0)</f>
        <v>0</v>
      </c>
      <c r="DI30" s="93" t="n">
        <f aca="false">IF(AND(C30="Working - Rest Day",OR(C31="Special Holiday",C31="Working - Legal Holiday on RD",C31="Working - Special Holiday on RD",C31="Legal Holiday",C31="Legal Holiday on RD",C31="Special Holiday on RD",C31="Leave")),BO30,0)</f>
        <v>0</v>
      </c>
      <c r="DJ30" s="93" t="n">
        <f aca="false">IF(AND(C30="Legal Holiday",OR(C31="Special Holiday",C31="Legal Holiday on RD",C31="Special Holiday on RD",C31="Normal",C31="Rest Day",C31="Working - Legal Holiday on RD",C31="Working - Special Holiday on RD",C31="Working - Rest Day",C31="Leave")),BO30,0)</f>
        <v>0</v>
      </c>
      <c r="DK30" s="93" t="n">
        <f aca="false">IF(AND(C30="Special Holiday",OR(C31="Legal Holiday",C31="Working - Legal Holiday on RD",C31="Working - Special Holiday on RD",C31="Normal",C31="Rest Day",C31="Legal Holiday on RD",C31="Special Holiday on RD",C31="Working - Rest Day",C31="Leave")),BO30,0)</f>
        <v>0</v>
      </c>
      <c r="DL30" s="93" t="n">
        <f aca="false">IF(AND(C30="Working - Legal Holiday on RD",OR(C31="Legal Holiday",C31="Special Holiday",C31="Working - Special Holiday on RD",C31="Normal",C31="Rest Day",C31="Special Holiday on RD",C31="Working - Rest Day",C31="Leave")),BO30,0)</f>
        <v>0</v>
      </c>
      <c r="DM30" s="93" t="n">
        <f aca="false">IF(AND(C30="Working - Special Holiday on RD",OR(C31="Legal Holiday",C31="Special Holiday",C31="Working - Legal Holiday on RD",C31="Normal",C31="Rest Day",C31="Leave",C31="Legal Holiday on RD")),BO30,0)</f>
        <v>0</v>
      </c>
      <c r="DN30" s="93" t="n">
        <f aca="false">IF(OR(C29="Special Holiday",C29="Working - Legal Holiday on RD",C29="Working - Special Holiday on RD",C29="Legal Holiday"),BO29,0)</f>
        <v>0</v>
      </c>
      <c r="DO30" s="93" t="n">
        <f aca="false">IF(AND(C30="Working - Rest Day",OR(C29="Special Holiday",C29="Working - Legal Holiday on RD",C29="Working - Special Holiday on RD",C29="Normal",C29="Legal Holiday")),BO29,0)</f>
        <v>0</v>
      </c>
      <c r="DP30" s="93" t="n">
        <f aca="false">IF(AND(OR(C30="Legal Holiday",C30="Legal Holiday on a Rest Day"),OR(C29="Special Holiday",C29="Working - Legal Holiday on RD",C29="Working - Special Holiday on RD",C29="Normal")),BO29,0)</f>
        <v>0</v>
      </c>
      <c r="DQ30" s="93" t="n">
        <f aca="false">IF(AND(OR(C30="Special Holiday",C30="Special Holiday on RD"),OR(C29="Legal Holiday",C29="Working - Legal Holiday on RD",C29="Working - Special Holiday on RD",C29="Normal")),BO29,0)</f>
        <v>0</v>
      </c>
      <c r="DR30" s="93" t="n">
        <f aca="false">IF(AND(C30="Working - Legal Holiday on a RD",OR(C29="Legal Holiday",C29="Special Holiday",C29="Working - Special Holiday on RD",C29="Normal")),BO29,0)</f>
        <v>0</v>
      </c>
      <c r="DS30" s="93" t="n">
        <f aca="false">IF(AND(C30="Working - Special Holiday on RD",OR(C29="Legal Holiday",C29="Special Holiday",C29="Working - Legal Holiday on RD",C29="Normal")),BO29,0)</f>
        <v>0</v>
      </c>
    </row>
    <row r="31" customFormat="false" ht="14.25" hidden="false" customHeight="false" outlineLevel="0" collapsed="false">
      <c r="BY31" s="6"/>
    </row>
    <row r="32" customFormat="false" ht="19.7" hidden="false" customHeight="false" outlineLevel="0" collapsed="false">
      <c r="J32" s="99" t="s">
        <v>112</v>
      </c>
      <c r="K32" s="99"/>
      <c r="L32" s="99"/>
      <c r="M32" s="99"/>
      <c r="N32" s="100"/>
      <c r="O32" s="100"/>
      <c r="P32" s="100"/>
      <c r="R32" s="101" t="n">
        <f aca="false">SUM(R14:R31)</f>
        <v>0</v>
      </c>
      <c r="S32" s="101" t="n">
        <f aca="false">SUM(S14:S31)</f>
        <v>0</v>
      </c>
      <c r="T32" s="101" t="n">
        <f aca="false">SUM(T14:T31)</f>
        <v>0</v>
      </c>
      <c r="U32" s="101" t="n">
        <f aca="false">SUM(U14:U31)</f>
        <v>0</v>
      </c>
      <c r="V32" s="101" t="n">
        <f aca="false">SUM(V14:V31)</f>
        <v>0</v>
      </c>
      <c r="W32" s="101" t="n">
        <f aca="false">SUM(W14:W31)</f>
        <v>0</v>
      </c>
      <c r="X32" s="101" t="n">
        <f aca="false">SUM(X14:X31)</f>
        <v>0</v>
      </c>
      <c r="Y32" s="101" t="n">
        <f aca="false">SUM(Y14:Y31)</f>
        <v>0</v>
      </c>
      <c r="Z32" s="101" t="n">
        <f aca="false">SUM(Z14:Z31)</f>
        <v>0</v>
      </c>
      <c r="AA32" s="101" t="n">
        <f aca="false">SUM(AA14:AA31)</f>
        <v>0</v>
      </c>
      <c r="AB32" s="101" t="n">
        <f aca="false">SUM(AB14:AB31)</f>
        <v>0</v>
      </c>
      <c r="AC32" s="101" t="n">
        <f aca="false">SUM(AC14:AC31)</f>
        <v>0</v>
      </c>
      <c r="AD32" s="101" t="n">
        <f aca="false">SUM(AD14:AD31)</f>
        <v>0</v>
      </c>
      <c r="AE32" s="101" t="n">
        <f aca="false">SUM(AE14:AE31)</f>
        <v>0</v>
      </c>
      <c r="AF32" s="101" t="n">
        <f aca="false">SUM(AF14:AF31)</f>
        <v>0</v>
      </c>
      <c r="AG32" s="101" t="n">
        <f aca="false">SUM(AG14:AG31)</f>
        <v>0</v>
      </c>
      <c r="AH32" s="101" t="n">
        <f aca="false">SUM(AH14:AH31)</f>
        <v>0</v>
      </c>
      <c r="AI32" s="101" t="n">
        <f aca="false">SUM(AI14:AI31)</f>
        <v>0</v>
      </c>
      <c r="AJ32" s="101" t="n">
        <f aca="false">SUM(AJ14:AJ31)</f>
        <v>0</v>
      </c>
      <c r="AK32" s="101" t="n">
        <f aca="false">SUM(AK14:AK31)</f>
        <v>0</v>
      </c>
      <c r="AL32" s="101" t="n">
        <f aca="false">SUM(AL14:AL31)</f>
        <v>0</v>
      </c>
      <c r="AM32" s="101" t="n">
        <f aca="false">SUM(AM14:AM31)</f>
        <v>0</v>
      </c>
      <c r="AN32" s="101" t="n">
        <f aca="false">SUM(AN14:AN31)</f>
        <v>0</v>
      </c>
      <c r="AO32" s="101" t="n">
        <f aca="false">SUM(AO14:AO31)</f>
        <v>0</v>
      </c>
      <c r="AP32" s="101" t="n">
        <f aca="false">SUM(AP14:AP31)</f>
        <v>0</v>
      </c>
    </row>
    <row r="33" customFormat="false" ht="19.7" hidden="false" customHeight="false" outlineLevel="0" collapsed="false">
      <c r="M33" s="100"/>
      <c r="N33" s="100"/>
      <c r="O33" s="100"/>
      <c r="P33" s="100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2"/>
    </row>
    <row r="34" customFormat="false" ht="19.7" hidden="false" customHeight="false" outlineLevel="0" collapsed="false">
      <c r="A34" s="103" t="s">
        <v>113</v>
      </c>
      <c r="C34" s="104" t="s">
        <v>114</v>
      </c>
      <c r="D34" s="104"/>
      <c r="E34" s="104"/>
      <c r="H34" s="103" t="s">
        <v>115</v>
      </c>
      <c r="I34" s="2"/>
      <c r="K34" s="104" t="s">
        <v>12</v>
      </c>
      <c r="L34" s="104"/>
      <c r="M34" s="104"/>
      <c r="N34" s="105"/>
    </row>
    <row r="35" customFormat="false" ht="19.7" hidden="false" customHeight="false" outlineLevel="0" collapsed="false">
      <c r="A35" s="103"/>
      <c r="C35" s="106"/>
      <c r="D35" s="106"/>
      <c r="E35" s="106"/>
    </row>
    <row r="37" s="6" customFormat="true" ht="14.25" hidden="false" customHeight="false" outlineLevel="0" collapsed="false">
      <c r="A37" s="107" t="s">
        <v>116</v>
      </c>
      <c r="B37" s="108" t="s">
        <v>99</v>
      </c>
      <c r="C37" s="108" t="s">
        <v>100</v>
      </c>
      <c r="D37" s="108" t="s">
        <v>101</v>
      </c>
      <c r="E37" s="108" t="s">
        <v>117</v>
      </c>
      <c r="F37" s="108" t="s">
        <v>56</v>
      </c>
      <c r="I37" s="9"/>
    </row>
    <row r="38" s="111" customFormat="true" ht="14.25" hidden="false" customHeight="false" outlineLevel="0" collapsed="false">
      <c r="A38" s="109" t="s">
        <v>99</v>
      </c>
      <c r="B38" s="110" t="n">
        <f aca="false">R32+S32</f>
        <v>0</v>
      </c>
      <c r="C38" s="110" t="n">
        <f aca="false">AK32</f>
        <v>0</v>
      </c>
      <c r="D38" s="110" t="n">
        <f aca="false">Y32</f>
        <v>0</v>
      </c>
      <c r="E38" s="110" t="n">
        <f aca="false">AE32</f>
        <v>0</v>
      </c>
      <c r="F38" s="110" t="n">
        <f aca="false">S32</f>
        <v>0</v>
      </c>
      <c r="I38" s="112"/>
    </row>
    <row r="39" s="111" customFormat="true" ht="14.25" hidden="false" customHeight="false" outlineLevel="0" collapsed="false">
      <c r="A39" s="109" t="s">
        <v>19</v>
      </c>
      <c r="B39" s="110" t="n">
        <f aca="false">T32</f>
        <v>0</v>
      </c>
      <c r="C39" s="110" t="n">
        <f aca="false">AL32</f>
        <v>0</v>
      </c>
      <c r="D39" s="110" t="n">
        <f aca="false">Z32</f>
        <v>0</v>
      </c>
      <c r="E39" s="110" t="n">
        <f aca="false">AF32</f>
        <v>0</v>
      </c>
      <c r="F39" s="113" t="n">
        <v>0</v>
      </c>
      <c r="I39" s="112"/>
    </row>
    <row r="40" s="111" customFormat="true" ht="14.25" hidden="false" customHeight="false" outlineLevel="0" collapsed="false">
      <c r="A40" s="109" t="s">
        <v>17</v>
      </c>
      <c r="B40" s="110" t="n">
        <f aca="false">U32</f>
        <v>0</v>
      </c>
      <c r="C40" s="110" t="n">
        <f aca="false">AM32</f>
        <v>0</v>
      </c>
      <c r="D40" s="110" t="n">
        <f aca="false">AA32</f>
        <v>0</v>
      </c>
      <c r="E40" s="110" t="n">
        <f aca="false">AG32</f>
        <v>0</v>
      </c>
      <c r="F40" s="113" t="n">
        <v>0</v>
      </c>
      <c r="I40" s="112"/>
    </row>
    <row r="41" s="111" customFormat="true" ht="14.25" hidden="false" customHeight="false" outlineLevel="0" collapsed="false">
      <c r="A41" s="109" t="s">
        <v>10</v>
      </c>
      <c r="B41" s="110" t="n">
        <f aca="false">V32</f>
        <v>0</v>
      </c>
      <c r="C41" s="110" t="n">
        <f aca="false">AN32</f>
        <v>0</v>
      </c>
      <c r="D41" s="110" t="n">
        <f aca="false">AB32</f>
        <v>0</v>
      </c>
      <c r="E41" s="110" t="n">
        <f aca="false">AH32</f>
        <v>0</v>
      </c>
      <c r="F41" s="113" t="n">
        <v>0</v>
      </c>
      <c r="I41" s="112"/>
    </row>
    <row r="42" s="111" customFormat="true" ht="14.25" hidden="false" customHeight="false" outlineLevel="0" collapsed="false">
      <c r="A42" s="109" t="s">
        <v>118</v>
      </c>
      <c r="B42" s="110" t="n">
        <f aca="false">W32</f>
        <v>0</v>
      </c>
      <c r="C42" s="110" t="n">
        <f aca="false">AO32</f>
        <v>0</v>
      </c>
      <c r="D42" s="110" t="n">
        <f aca="false">AC32</f>
        <v>0</v>
      </c>
      <c r="E42" s="110" t="n">
        <f aca="false">AI32</f>
        <v>0</v>
      </c>
      <c r="F42" s="113" t="n">
        <v>0</v>
      </c>
      <c r="I42" s="112"/>
    </row>
    <row r="43" s="111" customFormat="true" ht="14.25" hidden="false" customHeight="false" outlineLevel="0" collapsed="false">
      <c r="A43" s="109" t="s">
        <v>119</v>
      </c>
      <c r="B43" s="110" t="n">
        <f aca="false">X32</f>
        <v>0</v>
      </c>
      <c r="C43" s="110" t="n">
        <f aca="false">AP32</f>
        <v>0</v>
      </c>
      <c r="D43" s="110" t="n">
        <f aca="false">AD32</f>
        <v>0</v>
      </c>
      <c r="E43" s="110" t="n">
        <f aca="false">AJ32</f>
        <v>0</v>
      </c>
      <c r="F43" s="113" t="n">
        <v>0</v>
      </c>
      <c r="I43" s="112"/>
    </row>
    <row r="44" customFormat="false" ht="24" hidden="false" customHeight="true" outlineLevel="0" collapsed="false">
      <c r="A44" s="114" t="s">
        <v>120</v>
      </c>
      <c r="B44" s="115" t="str">
        <f aca="false">COUNTIF(C14:C29,"Leave")&amp;" "&amp;"Leaves"&amp;" "&amp;"-"&amp;IF(C14="Leave",(TEXT(A14,"DD-mmm")&amp;","),"")&amp;" "&amp;IF(C15="Leave",(TEXT(A15,"DD-mmm")&amp;","),"")&amp;" "&amp;IF(C16="Leave",(TEXT(A16,"DD-mmm")&amp;","),"")&amp;" "&amp;IF(C17="Leave",(TEXT(A17,"DD-mmm")&amp;","),"")&amp;" "&amp;IF(C18="Leave",(TEXT(A18,"DD-mmm")&amp;","),"")&amp;" "&amp;IF(C19="Leave",(TEXT(A19,"DD-mmm")&amp;","),"")&amp;" "&amp;IF(C20="Leave",(TEXT(A20,"DD-mmm")&amp;","),"")&amp;" "&amp;IF(C21="Leave",(TEXT(A21,"DD-mmm")&amp;","),"")&amp;" "&amp;IF(C22="Leave",(TEXT(A22,"DD-mmm")&amp;","),"")&amp;" "&amp;IF(C23="Leave",(TEXT(A23,"DD-mmm")&amp;","),"")&amp;" "&amp;IF(C24="Leave",(TEXT(A24,"DD-mmm")&amp;","),"")&amp;" "&amp;IF(C25="Leave",(TEXT(A25,"DD-mmm")&amp;","),"")&amp;" "&amp;IF(C26="Leave",(TEXT(A26,"DD-mmm")&amp;","),"")&amp;" "&amp;IF(C27="Leave",(TEXT(A27,"DD-mmm")&amp;","),"")&amp;" "&amp;IF(C28="Leave",(TEXT(A28,"DD-mmm")&amp;","),"")&amp;" "&amp;IF(C29="Leave",(TEXT(A29,"DD-mmm")&amp;","),"")</f>
        <v>1 Leaves -             29-Jun,  </v>
      </c>
      <c r="C44" s="115"/>
      <c r="D44" s="115"/>
      <c r="E44" s="115"/>
      <c r="F44" s="115"/>
    </row>
  </sheetData>
  <sheetProtection sheet="true" password="d9ff" formatCells="false" formatColumns="false" formatRows="false" autoFilter="false" pivotTables="false"/>
  <protectedRanges>
    <protectedRange name="Master" password="cde5" sqref="AV14:AV30"/>
  </protectedRanges>
  <mergeCells count="37">
    <mergeCell ref="B1:E1"/>
    <mergeCell ref="B2:E2"/>
    <mergeCell ref="B3:E3"/>
    <mergeCell ref="B4:E4"/>
    <mergeCell ref="B5:E5"/>
    <mergeCell ref="A11:A12"/>
    <mergeCell ref="B11:B12"/>
    <mergeCell ref="C11:C12"/>
    <mergeCell ref="D11:D12"/>
    <mergeCell ref="E11:E12"/>
    <mergeCell ref="F11:F12"/>
    <mergeCell ref="G11:H11"/>
    <mergeCell ref="I11:I12"/>
    <mergeCell ref="J11:M11"/>
    <mergeCell ref="N11:N12"/>
    <mergeCell ref="O11:O12"/>
    <mergeCell ref="P11:P12"/>
    <mergeCell ref="Q11:Q12"/>
    <mergeCell ref="R11:X11"/>
    <mergeCell ref="Y11:AD11"/>
    <mergeCell ref="AE11:AJ11"/>
    <mergeCell ref="AK11:AP11"/>
    <mergeCell ref="BN11:BQ11"/>
    <mergeCell ref="BR11:BU11"/>
    <mergeCell ref="BV11:BW11"/>
    <mergeCell ref="BX11:CC11"/>
    <mergeCell ref="CD11:CI11"/>
    <mergeCell ref="CJ11:CO11"/>
    <mergeCell ref="CP11:CU11"/>
    <mergeCell ref="CV11:DA11"/>
    <mergeCell ref="DB11:DG11"/>
    <mergeCell ref="DH11:DM11"/>
    <mergeCell ref="DN11:DS11"/>
    <mergeCell ref="J32:M32"/>
    <mergeCell ref="C34:E34"/>
    <mergeCell ref="K34:M34"/>
    <mergeCell ref="B44:F44"/>
  </mergeCells>
  <conditionalFormatting sqref="B14:B30">
    <cfRule type="containsText" priority="2" operator="containsText" aboveAverage="0" equalAverage="0" bottom="0" percent="0" rank="0" text="Sun" dxfId="5">
      <formula>NOT(ISERROR(SEARCH("Sun",B14)))</formula>
    </cfRule>
    <cfRule type="containsText" priority="3" operator="containsText" aboveAverage="0" equalAverage="0" bottom="0" percent="0" rank="0" text="Sat" dxfId="6">
      <formula>NOT(ISERROR(SEARCH("Sat",B14)))</formula>
    </cfRule>
  </conditionalFormatting>
  <dataValidations count="3">
    <dataValidation allowBlank="true" errorStyle="stop" operator="between" showDropDown="false" showErrorMessage="true" showInputMessage="true" sqref="P14:P30" type="list">
      <formula1>$AS$1:$AS$2</formula1>
      <formula2>0</formula2>
    </dataValidation>
    <dataValidation allowBlank="true" errorStyle="stop" operator="between" showDropDown="false" showErrorMessage="true" showInputMessage="true" sqref="N14:N30" type="list">
      <formula1>$AQ$1:$AQ$2</formula1>
      <formula2>0</formula2>
    </dataValidation>
    <dataValidation allowBlank="true" errorStyle="stop" operator="between" showDropDown="false" showErrorMessage="true" showInputMessage="true" sqref="C14:C31" type="list">
      <formula1>$AT$1:$AT$10</formula1>
      <formula2>0</formula2>
    </dataValidation>
  </dataValidations>
  <printOptions headings="false" gridLines="false" gridLinesSet="true" horizontalCentered="true" verticalCentered="false"/>
  <pageMargins left="0.75" right="0.75" top="0.740277777777778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b2b6e26-33a0-4af2-930c-0c419d3fa434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61cd1ae9-add5-418b-ba01-b098e2ec3b0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5B8C4B9821134687BEBA129B575F37" ma:contentTypeVersion="36" ma:contentTypeDescription="Create a new document." ma:contentTypeScope="" ma:versionID="541e897c377404d720a3f23ace967dfc">
  <xsd:schema xmlns:xsd="http://www.w3.org/2001/XMLSchema" xmlns:xs="http://www.w3.org/2001/XMLSchema" xmlns:p="http://schemas.microsoft.com/office/2006/metadata/properties" xmlns:ns1="http://schemas.microsoft.com/sharepoint/v3" xmlns:ns2="61cd1ae9-add5-418b-ba01-b098e2ec3b0d" xmlns:ns3="b2eb7b80-a566-4a2c-a026-91b6d1eb6193" xmlns:ns4="7b2b6e26-33a0-4af2-930c-0c419d3fa434" targetNamespace="http://schemas.microsoft.com/office/2006/metadata/properties" ma:root="true" ma:fieldsID="a2f7311a933eded6ab3cfc8cecf73a08" ns1:_="" ns2:_="" ns3:_="" ns4:_="">
    <xsd:import namespace="http://schemas.microsoft.com/sharepoint/v3"/>
    <xsd:import namespace="61cd1ae9-add5-418b-ba01-b098e2ec3b0d"/>
    <xsd:import namespace="b2eb7b80-a566-4a2c-a026-91b6d1eb6193"/>
    <xsd:import namespace="7b2b6e26-33a0-4af2-930c-0c419d3fa4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cd1ae9-add5-418b-ba01-b098e2ec3b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afb2a67-62c7-4b1b-9e2c-5fa2ecb7a4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eb7b80-a566-4a2c-a026-91b6d1eb619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2b6e26-33a0-4af2-930c-0c419d3fa43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42922a0-fd51-4d86-8033-a5ac5c016f01}" ma:internalName="TaxCatchAll" ma:showField="CatchAllData" ma:web="7b2b6e26-33a0-4af2-930c-0c419d3fa4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17D080-30B5-4576-B200-DF1A6A685752}">
  <ds:schemaRefs>
    <ds:schemaRef ds:uri="http://schemas.microsoft.com/office/2006/metadata/properties"/>
    <ds:schemaRef ds:uri="http://purl.org/dc/elements/1.1/"/>
    <ds:schemaRef ds:uri="7b2b6e26-33a0-4af2-930c-0c419d3fa434"/>
    <ds:schemaRef ds:uri="b2eb7b80-a566-4a2c-a026-91b6d1eb6193"/>
    <ds:schemaRef ds:uri="http://schemas.microsoft.com/office/2006/documentManagement/types"/>
    <ds:schemaRef ds:uri="http://www.w3.org/XML/1998/namespace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61cd1ae9-add5-418b-ba01-b098e2ec3b0d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279D6693-5AEB-4867-BC2C-73F45BC526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1cd1ae9-add5-418b-ba01-b098e2ec3b0d"/>
    <ds:schemaRef ds:uri="b2eb7b80-a566-4a2c-a026-91b6d1eb6193"/>
    <ds:schemaRef ds:uri="7b2b6e26-33a0-4af2-930c-0c419d3fa4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4C0AEDA-FDA4-49F1-9B25-E71923AF73E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LibreOffice/25.2.4.3$Windows_X86_64 LibreOffice_project/33e196637044ead23f5c3226cde09b47731f7e27</Application>
  <AppVersion>15.0000</AppVersion>
  <Company>ADB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2005-02-25T07:46:08Z</dcterms:created>
  <dc:creator>OIST</dc:creator>
  <dc:description/>
  <dc:language>en-US</dc:language>
  <cp:lastModifiedBy/>
  <cp:lastPrinted>2026-07-13T14:57:53Z</cp:lastPrinted>
  <dcterms:modified xsi:type="dcterms:W3CDTF">2026-07-13T14:56:31Z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0x010100A75B8C4B9821134687BEBA129B575F37</vt:lpwstr>
  </property>
  <property fmtid="{D5CDD505-2E9C-101B-9397-08002B2CF9AE}" pid="3" name="MediaServiceImageTags">
    <vt:lpwstr/>
  </property>
</Properties>
</file>