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<sst xmlns="http://schemas.openxmlformats.org/spreadsheetml/2006/main" count="211" uniqueCount="124">
  <si>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</si>
  <si>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</si>
  <si>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</si>
  <si>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</si>
  <si>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</si>
  <si>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</si>
  <si>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</si>
  <si>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</si>
  <si>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</si>
  <si>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</si>
  <si>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</si>
  <si>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</si>
  <si>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</si>
  <si>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</si>
  <si>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</si>
  <si>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</si>
  <si>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</si>
  <si>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</si>
  <si>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</si>
  <si>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</si>
  <si>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</si>
  <si>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</si>
  <si>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</si>
  <si>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</si>
  <si>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</si>
  <si>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</si>
  <si>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</si>
  <si>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</si>
  <si>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</si>
  <si>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</si>
  <si>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</si>
  <si>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</si>
  <si>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</si>
  <si>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</si>
  <si>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</si>
  <si>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</si>
  <si>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</si>
  <si>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</si>
  <si>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</si>
  <si>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</si>
  <si>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</si>
  <si>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</si>
  <si>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</si>
  <si>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</si>
  <si>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</si>
  <si>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</si>
  <si>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</si>
  <si>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</si>
  <si>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</si>
  <si>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</si>
  <si>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</si>
  <si>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</si>
  <si>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</si>
  <si>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</si>
  <si>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</si>
  <si>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</si>
  <si>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</si>
  <si>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</si>
  <si>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</si>
  <si>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</si>
  <si>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</si>
  <si>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</si>
  <si>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</si>
  <si>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</si>
  <si>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</si>
  <si>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</si>
  <si>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</si>
  <si>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</si>
  <si>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</si>
  <si>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</si>
  <si>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</si>
  <si>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</si>
  <si>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</si>
  <si>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</si>
  <si>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</si>
  <si>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</si>
  <si>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</si>
  <si>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</si>
  <si>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</si>
  <si>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</si>
  <si>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</si>
  <si>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</si>
  <si>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</si>
  <si>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</si>
  <si>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</si>
  <si>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</si>
  <si>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</si>
  <si>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</si>
  <si>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</si>
  <si>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</si>
  <si>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</si>
  <si>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</si>
  <si>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</si>
  <si>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</si>
  <si>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</si>
  <si>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</si>
  <si>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</si>
  <si>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</si>
  <si>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</si>
  <si>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</si>
  <si>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</si>
  <si>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</si>
  <si>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</si>
  <si>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</si>
  <si>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</si>
  <si>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</si>
  <si>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</si>
  <si>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</si>
  <si>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</si>
  <si>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</si>
  <si>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Regular Holiday (Maundy Thursday)</t>
  </si>
  <si>
    <t xml:space="preserve">Regular Holiday (Good Friday)</t>
  </si>
  <si>
    <t xml:space="preserve">Special Non-Working Holiday (Black Saturday)</t>
  </si>
  <si>
    <t xml:space="preserve">10 regular working hours – compressed work schedule</t>
  </si>
  <si>
    <t xml:space="preserve">Regular Holiday (Day of Valor)</t>
  </si>
  <si>
    <t xml:space="preserve">Total Hours</t>
  </si>
  <si>
    <t xml:space="preserve">Noted by:</t>
  </si>
  <si>
    <t xml:space="preserve">Andre Chiristian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</si>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</sst>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General"/>
    <numFmt numFmtId="173" formatCode="d\-mmm"/>
    <numFmt numFmtId="174" formatCode="[$-409]d\-mmm\-yy;@"/>
    <numFmt numFmtId="175" formatCode="m/d/yyyy\ h:mm"/>
    <numFmt numFmtId="176" formatCode="h:mm;@"/>
    <numFmt numFmtId="177" formatCode="[$-F400]h:mm:ss\ AM/PM"/>
    <numFmt numFmtId="178" formatCode="h:mm\ dd\-mmm\-yy"/>
    <numFmt numFmtId="179" formatCode="h:mm\ mm/dd/yy"/>
  </numFmts>
  <fonts count="24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Calibri"/>
      <family val="2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21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16" colorId="64" zoomScale="85" zoomScaleNormal="85" zoomScalePageLayoutView="85" workbookViewId="0">
      <selection pane="topLeft" activeCell="H2" activeCellId="0" sqref="H:H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Apr 1-15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57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46113</v>
      </c>
      <c r="B14" s="80" t="str">
        <f aca="false">TEXT(WEEKDAY(A14),"ddd")</f>
        <v>Wed</v>
      </c>
      <c r="C14" s="81" t="s">
        <v>4</v>
      </c>
      <c r="D14" s="82" t="n">
        <v>0.354166666666667</v>
      </c>
      <c r="E14" s="79" t="n">
        <v>46113</v>
      </c>
      <c r="F14" s="82" t="n">
        <v>0.729166666666667</v>
      </c>
      <c r="G14" s="82" t="n">
        <v>0.354166666666667</v>
      </c>
      <c r="H14" s="82" t="n">
        <v>0.729166666666667</v>
      </c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 t="s">
        <v>2</v>
      </c>
      <c r="O14" s="85"/>
      <c r="P14" s="85"/>
      <c r="Q14" s="86"/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08:30 01-Apr-26</v>
      </c>
      <c r="AR14" s="89" t="str">
        <f aca="false">TEXT(G14,"HH:MM")&amp;" "&amp;TEXT(A14,"DD-mmm-YY")</f>
        <v>08:30 01-Apr-26</v>
      </c>
      <c r="AS14" s="60" t="str">
        <f aca="false">IF($AR$1&lt;D14,AR14,IF(AT14&lt;=AR14,AR14,AT14))</f>
        <v>22:00 01-Apr-26</v>
      </c>
      <c r="AT14" s="60" t="str">
        <f aca="false">IF(AND(D14&gt;=0,D14&lt;0.25),TEXT($AR$1,"HH:MM")&amp;" "&amp;TEXT((A14-1),"dd-mmm-yy"),TEXT($AR$1,"HH:MM")&amp;" "&amp;TEXT(A14,"dd-mmm-yy"))</f>
        <v>22:00 01-Apr-26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31-Mar-26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02-Apr-26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17:30 01-Apr-26</v>
      </c>
      <c r="BC14" s="60" t="str">
        <f aca="false">IF(N14="Flexi",TEXT(G14+$BC$1,"HH:MM")&amp;" "&amp;TEXT(E14,"DD-mmm-YY"),TEXT(F14,"HH:MM")&amp;" "&amp;TEXT(E14,"DD-mmm-YY"))</f>
        <v>17:30 01-Apr-26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02-Apr-26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02-Apr-26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02-Apr-26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46114</v>
      </c>
      <c r="B15" s="80" t="str">
        <f aca="false">TEXT(WEEKDAY(A15),"ddd")</f>
        <v>Thu</v>
      </c>
      <c r="C15" s="81" t="s">
        <v>17</v>
      </c>
      <c r="D15" s="82"/>
      <c r="E15" s="79"/>
      <c r="F15" s="82"/>
      <c r="G15" s="82"/>
      <c r="H15" s="82"/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/>
      <c r="O15" s="85"/>
      <c r="P15" s="85"/>
      <c r="Q15" s="86" t="s">
        <v>110</v>
      </c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00:00 02-Apr-26</v>
      </c>
      <c r="AR15" s="89" t="str">
        <f aca="false">TEXT(G15,"HH:MM")&amp;" "&amp;TEXT(A15,"DD-mmm-YY")</f>
        <v>00:00 02-Apr-26</v>
      </c>
      <c r="AS15" s="60" t="str">
        <f aca="false">IF($AR$1&lt;D15,AR15,IF(AT15&lt;=AR15,AR15,AT15))</f>
        <v>22:00 01-Apr-26</v>
      </c>
      <c r="AT15" s="60" t="str">
        <f aca="false">IF(AND(D15&gt;=0,D15&lt;0.25),TEXT($AR$1,"HH:MM")&amp;" "&amp;TEXT((A15-1),"dd-mmm-yy"),TEXT($AR$1,"HH:MM")&amp;" "&amp;TEXT(A15,"dd-mmm-yy"))</f>
        <v>22:00 01-Apr-26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01-Apr-26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02-Apr-26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00:00 02-Apr-26</v>
      </c>
      <c r="BC15" s="60" t="str">
        <f aca="false">IF(N15="Flexi",TEXT(G15+$BC$1,"HH:MM")&amp;" "&amp;TEXT(E15,"DD-mmm-YY"),TEXT(F15,"HH:MM")&amp;" "&amp;TEXT(E15,"DD-mmm-YY"))</f>
        <v>00:00 30-Dec-99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29-Dec-99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03-Apr-26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03-Apr-26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46115</v>
      </c>
      <c r="B16" s="80" t="str">
        <f aca="false">TEXT(WEEKDAY(A16),"ddd")</f>
        <v>Fri</v>
      </c>
      <c r="C16" s="81" t="s">
        <v>17</v>
      </c>
      <c r="D16" s="82"/>
      <c r="E16" s="79"/>
      <c r="F16" s="82"/>
      <c r="G16" s="82"/>
      <c r="H16" s="82"/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/>
      <c r="O16" s="85"/>
      <c r="P16" s="85"/>
      <c r="Q16" s="86" t="s">
        <v>111</v>
      </c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00:00 03-Apr-26</v>
      </c>
      <c r="AR16" s="89" t="str">
        <f aca="false">TEXT(G16,"HH:MM")&amp;" "&amp;TEXT(A16,"DD-mmm-YY")</f>
        <v>00:00 03-Apr-26</v>
      </c>
      <c r="AS16" s="60" t="str">
        <f aca="false">IF($AR$1&lt;D16,AR16,IF(AT16&lt;=AR16,AR16,AT16))</f>
        <v>22:00 02-Apr-26</v>
      </c>
      <c r="AT16" s="60" t="str">
        <f aca="false">IF(AND(D16&gt;=0,D16&lt;0.25),TEXT($AR$1,"HH:MM")&amp;" "&amp;TEXT((A16-1),"dd-mmm-yy"),TEXT($AR$1,"HH:MM")&amp;" "&amp;TEXT(A16,"dd-mmm-yy"))</f>
        <v>22:00 02-Apr-26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02-Apr-26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03-Apr-26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00:00 03-Apr-26</v>
      </c>
      <c r="BC16" s="60" t="str">
        <f aca="false">IF(N16="Flexi",TEXT(G16+$BC$1,"HH:MM")&amp;" "&amp;TEXT(E16,"DD-mmm-YY"),TEXT(F16,"HH:MM")&amp;" "&amp;TEXT(E16,"DD-mmm-YY"))</f>
        <v>00:00 30-Dec-99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29-Dec-99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04-Apr-26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04-Apr-26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46116</v>
      </c>
      <c r="B17" s="80" t="str">
        <f aca="false">TEXT(WEEKDAY(A17),"ddd")</f>
        <v>Sat</v>
      </c>
      <c r="C17" s="81" t="s">
        <v>13</v>
      </c>
      <c r="D17" s="82"/>
      <c r="E17" s="79"/>
      <c r="F17" s="82"/>
      <c r="G17" s="82"/>
      <c r="H17" s="82"/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/>
      <c r="O17" s="85"/>
      <c r="P17" s="85"/>
      <c r="Q17" s="86" t="s">
        <v>112</v>
      </c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00:00 04-Apr-26</v>
      </c>
      <c r="AR17" s="89" t="str">
        <f aca="false">TEXT(G17,"HH:MM")&amp;" "&amp;TEXT(A17,"DD-mmm-YY")</f>
        <v>00:00 04-Apr-26</v>
      </c>
      <c r="AS17" s="60" t="str">
        <f aca="false">IF($AR$1&lt;D17,AR17,IF(AT17&lt;=AR17,AR17,AT17))</f>
        <v>22:00 03-Apr-26</v>
      </c>
      <c r="AT17" s="60" t="str">
        <f aca="false">IF(AND(D17&gt;=0,D17&lt;0.25),TEXT($AR$1,"HH:MM")&amp;" "&amp;TEXT((A17-1),"dd-mmm-yy"),TEXT($AR$1,"HH:MM")&amp;" "&amp;TEXT(A17,"dd-mmm-yy"))</f>
        <v>22:00 03-Apr-26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03-Apr-26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04-Apr-26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00:00 04-Apr-26</v>
      </c>
      <c r="BC17" s="60" t="str">
        <f aca="false">IF(N17="Flexi",TEXT(G17+$BC$1,"HH:MM")&amp;" "&amp;TEXT(E17,"DD-mmm-YY"),TEXT(F17,"HH:MM")&amp;" "&amp;TEXT(E17,"DD-mmm-YY"))</f>
        <v>00:00 30-Dec-99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29-Dec-99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05-Apr-26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05-Apr-26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46117</v>
      </c>
      <c r="B18" s="80" t="str">
        <f aca="false">TEXT(WEEKDAY(A18),"ddd")</f>
        <v>Sun</v>
      </c>
      <c r="C18" s="81" t="s">
        <v>19</v>
      </c>
      <c r="D18" s="82"/>
      <c r="E18" s="79"/>
      <c r="F18" s="82"/>
      <c r="G18" s="82"/>
      <c r="H18" s="82"/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4"/>
      <c r="L18" s="82"/>
      <c r="M18" s="94"/>
      <c r="N18" s="79"/>
      <c r="O18" s="85"/>
      <c r="P18" s="94"/>
      <c r="Q18" s="86"/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00:00 05-Apr-26</v>
      </c>
      <c r="AR18" s="89" t="str">
        <f aca="false">TEXT(G18,"HH:MM")&amp;" "&amp;TEXT(A18,"DD-mmm-YY")</f>
        <v>00:00 05-Apr-26</v>
      </c>
      <c r="AS18" s="60" t="str">
        <f aca="false">IF($AR$1&lt;D18,AR18,IF(AT18&lt;=AR18,AR18,AT18))</f>
        <v>22:00 04-Apr-26</v>
      </c>
      <c r="AT18" s="60" t="str">
        <f aca="false">IF(AND(D18&gt;=0,D18&lt;0.25),TEXT($AR$1,"HH:MM")&amp;" "&amp;TEXT((A18-1),"dd-mmm-yy"),TEXT($AR$1,"HH:MM")&amp;" "&amp;TEXT(A18,"dd-mmm-yy"))</f>
        <v>22:00 04-Apr-26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04-Apr-26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05-Apr-26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00:00 05-Apr-26</v>
      </c>
      <c r="BC18" s="60" t="str">
        <f aca="false">IF(N18="Flexi",TEXT(G18+$BC$1,"HH:MM")&amp;" "&amp;TEXT(E18,"DD-mmm-YY"),TEXT(F18,"HH:MM")&amp;" "&amp;TEXT(E18,"DD-mmm-YY"))</f>
        <v>00:00 30-Dec-99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29-Dec-99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06-Apr-26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06-Apr-26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46118</v>
      </c>
      <c r="B19" s="80" t="str">
        <f aca="false">TEXT(WEEKDAY(A19),"ddd")</f>
        <v>Mon</v>
      </c>
      <c r="C19" s="81" t="s">
        <v>4</v>
      </c>
      <c r="D19" s="82" t="n">
        <v>0.354166666666667</v>
      </c>
      <c r="E19" s="79" t="n">
        <v>46118</v>
      </c>
      <c r="F19" s="82" t="n">
        <v>0.8125</v>
      </c>
      <c r="G19" s="82" t="n">
        <v>0.354166666666667</v>
      </c>
      <c r="H19" s="82" t="n">
        <v>0.8125</v>
      </c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 t="s">
        <v>2</v>
      </c>
      <c r="O19" s="85"/>
      <c r="P19" s="79"/>
      <c r="Q19" s="95" t="s">
        <v>113</v>
      </c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08:30 06-Apr-26</v>
      </c>
      <c r="AR19" s="89" t="str">
        <f aca="false">TEXT(G19,"HH:MM")&amp;" "&amp;TEXT(A19,"DD-mmm-YY")</f>
        <v>08:30 06-Apr-26</v>
      </c>
      <c r="AS19" s="60" t="str">
        <f aca="false">IF($AR$1&lt;D19,AR19,IF(AT19&lt;=AR19,AR19,AT19))</f>
        <v>22:00 06-Apr-26</v>
      </c>
      <c r="AT19" s="60" t="str">
        <f aca="false">IF(AND(D19&gt;=0,D19&lt;0.25),TEXT($AR$1,"HH:MM")&amp;" "&amp;TEXT((A19-1),"dd-mmm-yy"),TEXT($AR$1,"HH:MM")&amp;" "&amp;TEXT(A19,"dd-mmm-yy"))</f>
        <v>22:00 06-Apr-26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05-Apr-26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07-Apr-26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19:30 06-Apr-26</v>
      </c>
      <c r="BC19" s="60" t="str">
        <f aca="false">IF(N19="Flexi",TEXT(G19+$BC$1,"HH:MM")&amp;" "&amp;TEXT(E19,"DD-mmm-YY"),TEXT(F19,"HH:MM")&amp;" "&amp;TEXT(E19,"DD-mmm-YY"))</f>
        <v>19:30 06-Apr-26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07-Apr-26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07-Apr-26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07-Apr-26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46119</v>
      </c>
      <c r="B20" s="80" t="str">
        <f aca="false">TEXT(WEEKDAY(A20),"ddd")</f>
        <v>Tue</v>
      </c>
      <c r="C20" s="81" t="s">
        <v>4</v>
      </c>
      <c r="D20" s="82" t="n">
        <v>0.354166666666667</v>
      </c>
      <c r="E20" s="79" t="n">
        <v>46119</v>
      </c>
      <c r="F20" s="82" t="n">
        <v>0.8125</v>
      </c>
      <c r="G20" s="82" t="n">
        <v>0.354166666666667</v>
      </c>
      <c r="H20" s="82" t="n">
        <v>0.8125</v>
      </c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 t="s">
        <v>2</v>
      </c>
      <c r="O20" s="85"/>
      <c r="P20" s="79"/>
      <c r="Q20" s="86" t="s">
        <v>113</v>
      </c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08:30 07-Apr-26</v>
      </c>
      <c r="AR20" s="89" t="str">
        <f aca="false">TEXT(G20,"HH:MM")&amp;" "&amp;TEXT(A20,"DD-mmm-YY")</f>
        <v>08:30 07-Apr-26</v>
      </c>
      <c r="AS20" s="60" t="str">
        <f aca="false">IF($AR$1&lt;D20,AR20,IF(AT20&lt;=AR20,AR20,AT20))</f>
        <v>22:00 07-Apr-26</v>
      </c>
      <c r="AT20" s="60" t="str">
        <f aca="false">IF(AND(D20&gt;=0,D20&lt;0.25),TEXT($AR$1,"HH:MM")&amp;" "&amp;TEXT((A20-1),"dd-mmm-yy"),TEXT($AR$1,"HH:MM")&amp;" "&amp;TEXT(A20,"dd-mmm-yy"))</f>
        <v>22:00 07-Apr-26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06-Apr-26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08-Apr-26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19:30 07-Apr-26</v>
      </c>
      <c r="BC20" s="60" t="str">
        <f aca="false">IF(N20="Flexi",TEXT(G20+$BC$1,"HH:MM")&amp;" "&amp;TEXT(E20,"DD-mmm-YY"),TEXT(F20,"HH:MM")&amp;" "&amp;TEXT(E20,"DD-mmm-YY"))</f>
        <v>19:30 07-Apr-26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08-Apr-26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08-Apr-26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08-Apr-26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46120</v>
      </c>
      <c r="B21" s="80" t="str">
        <f aca="false">TEXT(WEEKDAY(A21),"ddd")</f>
        <v>Wed</v>
      </c>
      <c r="C21" s="81" t="s">
        <v>4</v>
      </c>
      <c r="D21" s="82" t="n">
        <v>0.354166666666667</v>
      </c>
      <c r="E21" s="79" t="n">
        <v>46120</v>
      </c>
      <c r="F21" s="82" t="n">
        <v>0.8125</v>
      </c>
      <c r="G21" s="82" t="n">
        <v>0.354166666666667</v>
      </c>
      <c r="H21" s="82" t="n">
        <v>0.8125</v>
      </c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 t="s">
        <v>2</v>
      </c>
      <c r="O21" s="85"/>
      <c r="P21" s="79"/>
      <c r="Q21" s="95" t="s">
        <v>113</v>
      </c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08:30 08-Apr-26</v>
      </c>
      <c r="AR21" s="89" t="str">
        <f aca="false">TEXT(G21,"HH:MM")&amp;" "&amp;TEXT(A21,"DD-mmm-YY")</f>
        <v>08:30 08-Apr-26</v>
      </c>
      <c r="AS21" s="60" t="str">
        <f aca="false">IF($AR$1&lt;D21,AR21,IF(AT21&lt;=AR21,AR21,AT21))</f>
        <v>22:00 08-Apr-26</v>
      </c>
      <c r="AT21" s="60" t="str">
        <f aca="false">IF(AND(D21&gt;=0,D21&lt;0.25),TEXT($AR$1,"HH:MM")&amp;" "&amp;TEXT((A21-1),"dd-mmm-yy"),TEXT($AR$1,"HH:MM")&amp;" "&amp;TEXT(A21,"dd-mmm-yy"))</f>
        <v>22:00 08-Apr-26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07-Apr-26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09-Apr-26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19:30 08-Apr-26</v>
      </c>
      <c r="BC21" s="60" t="str">
        <f aca="false">IF(N21="Flexi",TEXT(G21+$BC$1,"HH:MM")&amp;" "&amp;TEXT(E21,"DD-mmm-YY"),TEXT(F21,"HH:MM")&amp;" "&amp;TEXT(E21,"DD-mmm-YY"))</f>
        <v>19:30 08-Apr-26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09-Apr-26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09-Apr-26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09-Apr-26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46121</v>
      </c>
      <c r="B22" s="80" t="str">
        <f aca="false">TEXT(WEEKDAY(A22),"ddd")</f>
        <v>Thu</v>
      </c>
      <c r="C22" s="81" t="s">
        <v>17</v>
      </c>
      <c r="D22" s="82"/>
      <c r="E22" s="79"/>
      <c r="F22" s="82"/>
      <c r="G22" s="82"/>
      <c r="H22" s="82"/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/>
      <c r="O22" s="85"/>
      <c r="P22" s="79"/>
      <c r="Q22" s="86" t="s">
        <v>114</v>
      </c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00:00 09-Apr-26</v>
      </c>
      <c r="AR22" s="89" t="str">
        <f aca="false">TEXT(G22,"HH:MM")&amp;" "&amp;TEXT(A22,"DD-mmm-YY")</f>
        <v>00:00 09-Apr-26</v>
      </c>
      <c r="AS22" s="60" t="str">
        <f aca="false">IF($AR$1&lt;D22,AR22,IF(AT22&lt;=AR22,AR22,AT22))</f>
        <v>22:00 08-Apr-26</v>
      </c>
      <c r="AT22" s="60" t="str">
        <f aca="false">IF(AND(D22&gt;=0,D22&lt;0.25),TEXT($AR$1,"HH:MM")&amp;" "&amp;TEXT((A22-1),"dd-mmm-yy"),TEXT($AR$1,"HH:MM")&amp;" "&amp;TEXT(A22,"dd-mmm-yy"))</f>
        <v>22:00 08-Apr-26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08-Apr-26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09-Apr-26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00:00 09-Apr-26</v>
      </c>
      <c r="BC22" s="60" t="str">
        <f aca="false">IF(N22="Flexi",TEXT(G22+$BC$1,"HH:MM")&amp;" "&amp;TEXT(E22,"DD-mmm-YY"),TEXT(F22,"HH:MM")&amp;" "&amp;TEXT(E22,"DD-mmm-YY"))</f>
        <v>00:00 30-Dec-99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29-Dec-99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10-Apr-26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10-Apr-26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46122</v>
      </c>
      <c r="B23" s="80" t="str">
        <f aca="false">TEXT(WEEKDAY(A23),"ddd")</f>
        <v>Fri</v>
      </c>
      <c r="C23" s="81" t="s">
        <v>19</v>
      </c>
      <c r="D23" s="82"/>
      <c r="E23" s="79"/>
      <c r="F23" s="82"/>
      <c r="G23" s="82"/>
      <c r="H23" s="82"/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/>
      <c r="O23" s="85"/>
      <c r="P23" s="79"/>
      <c r="Q23" s="95"/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00:00 10-Apr-26</v>
      </c>
      <c r="AR23" s="89" t="str">
        <f aca="false">TEXT(G23,"HH:MM")&amp;" "&amp;TEXT(A23,"DD-mmm-YY")</f>
        <v>00:00 10-Apr-26</v>
      </c>
      <c r="AS23" s="60" t="str">
        <f aca="false">IF($AR$1&lt;D23,AR23,IF(AT23&lt;=AR23,AR23,AT23))</f>
        <v>22:00 09-Apr-26</v>
      </c>
      <c r="AT23" s="60" t="str">
        <f aca="false">IF(AND(D23&gt;=0,D23&lt;0.25),TEXT($AR$1,"HH:MM")&amp;" "&amp;TEXT((A23-1),"dd-mmm-yy"),TEXT($AR$1,"HH:MM")&amp;" "&amp;TEXT(A23,"dd-mmm-yy"))</f>
        <v>22:00 09-Apr-26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09-Apr-26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10-Apr-26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00:00 10-Apr-26</v>
      </c>
      <c r="BC23" s="60" t="str">
        <f aca="false">IF(N23="Flexi",TEXT(G23+$BC$1,"HH:MM")&amp;" "&amp;TEXT(E23,"DD-mmm-YY"),TEXT(F23,"HH:MM")&amp;" "&amp;TEXT(E23,"DD-mmm-YY"))</f>
        <v>00:00 30-Dec-99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29-Dec-99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11-Apr-26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11-Apr-26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46123</v>
      </c>
      <c r="B24" s="80" t="str">
        <f aca="false">TEXT(WEEKDAY(A24),"ddd")</f>
        <v>Sat</v>
      </c>
      <c r="C24" s="81" t="s">
        <v>19</v>
      </c>
      <c r="D24" s="82"/>
      <c r="E24" s="79"/>
      <c r="F24" s="82"/>
      <c r="G24" s="82"/>
      <c r="H24" s="82"/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/>
      <c r="O24" s="85"/>
      <c r="P24" s="79"/>
      <c r="Q24" s="86"/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00:00 11-Apr-26</v>
      </c>
      <c r="AR24" s="89" t="str">
        <f aca="false">TEXT(G24,"HH:MM")&amp;" "&amp;TEXT(A24,"DD-mmm-YY")</f>
        <v>00:00 11-Apr-26</v>
      </c>
      <c r="AS24" s="60" t="str">
        <f aca="false">IF($AR$1&lt;D24,AR24,IF(AT24&lt;=AR24,AR24,AT24))</f>
        <v>22:00 10-Apr-26</v>
      </c>
      <c r="AT24" s="60" t="str">
        <f aca="false">IF(AND(D24&gt;=0,D24&lt;0.25),TEXT($AR$1,"HH:MM")&amp;" "&amp;TEXT((A24-1),"dd-mmm-yy"),TEXT($AR$1,"HH:MM")&amp;" "&amp;TEXT(A24,"dd-mmm-yy"))</f>
        <v>22:00 10-Apr-26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10-Apr-26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11-Apr-26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00:00 11-Apr-26</v>
      </c>
      <c r="BC24" s="60" t="str">
        <f aca="false">IF(N24="Flexi",TEXT(G24+$BC$1,"HH:MM")&amp;" "&amp;TEXT(E24,"DD-mmm-YY"),TEXT(F24,"HH:MM")&amp;" "&amp;TEXT(E24,"DD-mmm-YY"))</f>
        <v>00:00 30-Dec-99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29-Dec-99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12-Apr-26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12-Apr-26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46124</v>
      </c>
      <c r="B25" s="80" t="str">
        <f aca="false">TEXT(WEEKDAY(A25),"ddd")</f>
        <v>Sun</v>
      </c>
      <c r="C25" s="81" t="s">
        <v>19</v>
      </c>
      <c r="D25" s="82"/>
      <c r="E25" s="79"/>
      <c r="F25" s="82"/>
      <c r="G25" s="82"/>
      <c r="H25" s="82"/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6"/>
      <c r="K25" s="79"/>
      <c r="L25" s="82"/>
      <c r="M25" s="79"/>
      <c r="N25" s="79"/>
      <c r="O25" s="85"/>
      <c r="P25" s="79"/>
      <c r="Q25" s="86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00:00 12-Apr-26</v>
      </c>
      <c r="AR25" s="89" t="str">
        <f aca="false">TEXT(G25,"HH:MM")&amp;" "&amp;TEXT(A25,"DD-mmm-YY")</f>
        <v>00:00 12-Apr-26</v>
      </c>
      <c r="AS25" s="60" t="str">
        <f aca="false">IF($AR$1&lt;D25,AR25,IF(AT25&lt;=AR25,AR25,AT25))</f>
        <v>22:00 11-Apr-26</v>
      </c>
      <c r="AT25" s="60" t="str">
        <f aca="false">IF(AND(D25&gt;=0,D25&lt;0.25),TEXT($AR$1,"HH:MM")&amp;" "&amp;TEXT((A25-1),"dd-mmm-yy"),TEXT($AR$1,"HH:MM")&amp;" "&amp;TEXT(A25,"dd-mmm-yy"))</f>
        <v>22:00 11-Apr-26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11-Apr-26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12-Apr-26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00:00 12-Apr-26</v>
      </c>
      <c r="BC25" s="60" t="str">
        <f aca="false">IF(N25="Flexi",TEXT(G25+$BC$1,"HH:MM")&amp;" "&amp;TEXT(E25,"DD-mmm-YY"),TEXT(F25,"HH:MM")&amp;" "&amp;TEXT(E25,"DD-mmm-YY"))</f>
        <v>00:00 30-Dec-99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29-Dec-99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13-Apr-26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13-Apr-26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46125</v>
      </c>
      <c r="B26" s="80" t="str">
        <f aca="false">TEXT(WEEKDAY(A26),"ddd")</f>
        <v>Mon</v>
      </c>
      <c r="C26" s="81" t="s">
        <v>4</v>
      </c>
      <c r="D26" s="82" t="n">
        <v>0.354166666666667</v>
      </c>
      <c r="E26" s="79" t="n">
        <v>46125</v>
      </c>
      <c r="F26" s="82" t="n">
        <v>0.8125</v>
      </c>
      <c r="G26" s="82" t="n">
        <v>0.354166666666667</v>
      </c>
      <c r="H26" s="82" t="n">
        <v>0.8125</v>
      </c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6"/>
      <c r="K26" s="79"/>
      <c r="L26" s="82"/>
      <c r="M26" s="79"/>
      <c r="N26" s="79" t="s">
        <v>2</v>
      </c>
      <c r="O26" s="85"/>
      <c r="P26" s="79"/>
      <c r="Q26" s="95" t="s">
        <v>113</v>
      </c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08:30 13-Apr-26</v>
      </c>
      <c r="AR26" s="89" t="str">
        <f aca="false">TEXT(G26,"HH:MM")&amp;" "&amp;TEXT(A26,"DD-mmm-YY")</f>
        <v>08:30 13-Apr-26</v>
      </c>
      <c r="AS26" s="60" t="str">
        <f aca="false">IF($AR$1&lt;D26,AR26,IF(AT26&lt;=AR26,AR26,AT26))</f>
        <v>22:00 13-Apr-26</v>
      </c>
      <c r="AT26" s="60" t="str">
        <f aca="false">IF(AND(D26&gt;=0,D26&lt;0.25),TEXT($AR$1,"HH:MM")&amp;" "&amp;TEXT((A26-1),"dd-mmm-yy"),TEXT($AR$1,"HH:MM")&amp;" "&amp;TEXT(A26,"dd-mmm-yy"))</f>
        <v>22:00 13-Apr-26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12-Apr-26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14-Apr-26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19:30 13-Apr-26</v>
      </c>
      <c r="BC26" s="60" t="str">
        <f aca="false">IF(N26="Flexi",TEXT(G26+$BC$1,"HH:MM")&amp;" "&amp;TEXT(E26,"DD-mmm-YY"),TEXT(F26,"HH:MM")&amp;" "&amp;TEXT(E26,"DD-mmm-YY"))</f>
        <v>19:30 13-Apr-26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14-Apr-26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14-Apr-26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14-Apr-26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46126</v>
      </c>
      <c r="B27" s="80" t="str">
        <f aca="false">TEXT(WEEKDAY(A27),"ddd")</f>
        <v>Tue</v>
      </c>
      <c r="C27" s="81" t="s">
        <v>4</v>
      </c>
      <c r="D27" s="82" t="n">
        <v>0.354166666666667</v>
      </c>
      <c r="E27" s="79" t="n">
        <v>46126</v>
      </c>
      <c r="F27" s="82" t="n">
        <v>0.8125</v>
      </c>
      <c r="G27" s="82" t="n">
        <v>0.354166666666667</v>
      </c>
      <c r="H27" s="82" t="n">
        <v>0.8125</v>
      </c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 t="s">
        <v>2</v>
      </c>
      <c r="O27" s="85"/>
      <c r="P27" s="79"/>
      <c r="Q27" s="95" t="s">
        <v>113</v>
      </c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08:30 14-Apr-26</v>
      </c>
      <c r="AR27" s="89" t="str">
        <f aca="false">TEXT(G27,"HH:MM")&amp;" "&amp;TEXT(A27,"DD-mmm-YY")</f>
        <v>08:30 14-Apr-26</v>
      </c>
      <c r="AS27" s="60" t="str">
        <f aca="false">IF($AR$1&lt;D27,AR27,IF(AT27&lt;=AR27,AR27,AT27))</f>
        <v>22:00 14-Apr-26</v>
      </c>
      <c r="AT27" s="60" t="str">
        <f aca="false">IF(AND(D27&gt;=0,D27&lt;0.25),TEXT($AR$1,"HH:MM")&amp;" "&amp;TEXT((A27-1),"dd-mmm-yy"),TEXT($AR$1,"HH:MM")&amp;" "&amp;TEXT(A27,"dd-mmm-yy"))</f>
        <v>22:00 14-Apr-26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13-Apr-26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15-Apr-26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19:30 14-Apr-26</v>
      </c>
      <c r="BC27" s="60" t="str">
        <f aca="false">IF(N27="Flexi",TEXT(G27+$BC$1,"HH:MM")&amp;" "&amp;TEXT(E27,"DD-mmm-YY"),TEXT(F27,"HH:MM")&amp;" "&amp;TEXT(E27,"DD-mmm-YY"))</f>
        <v>19:30 14-Apr-26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15-Apr-26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15-Apr-26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15-Apr-26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46127</v>
      </c>
      <c r="B28" s="80" t="str">
        <f aca="false">TEXT(WEEKDAY(A28),"ddd")</f>
        <v>Wed</v>
      </c>
      <c r="C28" s="81" t="s">
        <v>4</v>
      </c>
      <c r="D28" s="82" t="n">
        <v>0.354166666666667</v>
      </c>
      <c r="E28" s="79" t="n">
        <v>46127</v>
      </c>
      <c r="F28" s="82" t="n">
        <v>0.8125</v>
      </c>
      <c r="G28" s="82" t="n">
        <v>0.354166666666667</v>
      </c>
      <c r="H28" s="82" t="n">
        <v>0.8125</v>
      </c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 t="s">
        <v>2</v>
      </c>
      <c r="O28" s="85"/>
      <c r="P28" s="79"/>
      <c r="Q28" s="95" t="s">
        <v>113</v>
      </c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08:30 15-Apr-26</v>
      </c>
      <c r="AR28" s="89" t="str">
        <f aca="false">TEXT(G28,"HH:MM")&amp;" "&amp;TEXT(A28,"DD-mmm-YY")</f>
        <v>08:30 15-Apr-26</v>
      </c>
      <c r="AS28" s="60" t="str">
        <f aca="false">IF($AR$1&lt;D28,AR28,IF(AT28&lt;=AR28,AR28,AT28))</f>
        <v>22:00 15-Apr-26</v>
      </c>
      <c r="AT28" s="60" t="str">
        <f aca="false">IF(AND(D28&gt;=0,D28&lt;0.25),TEXT($AR$1,"HH:MM")&amp;" "&amp;TEXT((A28-1),"dd-mmm-yy"),TEXT($AR$1,"HH:MM")&amp;" "&amp;TEXT(A28,"dd-mmm-yy"))</f>
        <v>22:00 15-Apr-26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14-Apr-26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16-Apr-26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19:30 15-Apr-26</v>
      </c>
      <c r="BC28" s="60" t="str">
        <f aca="false">IF(N28="Flexi",TEXT(G28+$BC$1,"HH:MM")&amp;" "&amp;TEXT(E28,"DD-mmm-YY"),TEXT(F28,"HH:MM")&amp;" "&amp;TEXT(E28,"DD-mmm-YY"))</f>
        <v>19:30 15-Apr-26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16-Apr-26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16-Apr-26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16-Apr-26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true" customHeight="true" outlineLevel="0" collapsed="false">
      <c r="A29" s="79" t="n">
        <v>46128</v>
      </c>
      <c r="B29" s="80" t="str">
        <f aca="false">TEXT(WEEKDAY(A29),"ddd")</f>
        <v>Thu</v>
      </c>
      <c r="C29" s="81"/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7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16-Apr-26</v>
      </c>
      <c r="AR29" s="89" t="str">
        <f aca="false">TEXT(G29,"HH:MM")&amp;" "&amp;TEXT(A29,"DD-mmm-YY")</f>
        <v>00:00 16-Apr-26</v>
      </c>
      <c r="AS29" s="60" t="str">
        <f aca="false">IF($AR$1&lt;D29,AR29,IF(AT29&lt;=AR29,AR29,AT29))</f>
        <v>22:00 15-Apr-26</v>
      </c>
      <c r="AT29" s="60" t="str">
        <f aca="false">IF(AND(D29&gt;=0,D29&lt;0.25),TEXT($AR$1,"HH:MM")&amp;" "&amp;TEXT((A29-1),"dd-mmm-yy"),TEXT($AR$1,"HH:MM")&amp;" "&amp;TEXT(A29,"dd-mmm-yy"))</f>
        <v>22:00 15-Apr-26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15-Apr-26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16-Apr-26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16-Apr-26</v>
      </c>
      <c r="BC29" s="60" t="str">
        <f aca="false">IF(N29="Flexi",TEXT(G29+$BC$1,"HH:MM")&amp;" "&amp;TEXT(E29,"DD-mmm-YY"),TEXT(F29,"HH:MM")&amp;" "&amp;TEXT(E29,"DD-mmm-YY"))</f>
        <v>00:00 00-Jan-00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17-Apr-26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17-Apr-26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 t="n">
        <v>46129</v>
      </c>
      <c r="B30" s="80" t="str">
        <f aca="false">TEXT(WEEKDAY(A30),"ddd")</f>
        <v>Fri</v>
      </c>
      <c r="C30" s="81"/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8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17-Apr-26</v>
      </c>
      <c r="AR30" s="89" t="str">
        <f aca="false">TEXT(G30,"HH:MM")&amp;" "&amp;TEXT(A30,"DD-mmm-YY")</f>
        <v>00:00 17-Apr-26</v>
      </c>
      <c r="AS30" s="60" t="str">
        <f aca="false">IF($AR$1&lt;D30,AR30,IF(AT30&lt;=AR30,AR30,AT30))</f>
        <v>22:00 16-Apr-26</v>
      </c>
      <c r="AT30" s="60" t="str">
        <f aca="false">IF(AND(D30&gt;=0,D30&lt;0.25),TEXT($AR$1,"HH:MM")&amp;" "&amp;TEXT((A30-1),"dd-mmm-yy"),TEXT($AR$1,"HH:MM")&amp;" "&amp;TEXT(A30,"dd-mmm-yy"))</f>
        <v>22:00 16-Apr-26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16-Apr-26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17-Apr-26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17-Apr-26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18-Apr-26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18-Apr-26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21" hidden="false" customHeight="false" outlineLevel="0" collapsed="false">
      <c r="J32" s="99" t="s">
        <v>115</v>
      </c>
      <c r="K32" s="99"/>
      <c r="L32" s="99"/>
      <c r="M32" s="99"/>
      <c r="N32" s="100"/>
      <c r="O32" s="100"/>
      <c r="P32" s="100"/>
      <c r="R32" s="101" t="n">
        <f aca="false">SUM(R14:R31)</f>
        <v>0</v>
      </c>
      <c r="S32" s="101" t="n">
        <f aca="false">SUM(S14:S31)</f>
        <v>0</v>
      </c>
      <c r="T32" s="101" t="n">
        <f aca="false">SUM(T14:T31)</f>
        <v>0</v>
      </c>
      <c r="U32" s="101" t="n">
        <f aca="false">SUM(U14:U31)</f>
        <v>0</v>
      </c>
      <c r="V32" s="101" t="n">
        <f aca="false">SUM(V14:V31)</f>
        <v>0</v>
      </c>
      <c r="W32" s="101" t="n">
        <f aca="false">SUM(W14:W31)</f>
        <v>0</v>
      </c>
      <c r="X32" s="101" t="n">
        <f aca="false">SUM(X14:X31)</f>
        <v>0</v>
      </c>
      <c r="Y32" s="101" t="n">
        <f aca="false">SUM(Y14:Y31)</f>
        <v>0</v>
      </c>
      <c r="Z32" s="101" t="n">
        <f aca="false">SUM(Z14:Z31)</f>
        <v>0</v>
      </c>
      <c r="AA32" s="101" t="n">
        <f aca="false">SUM(AA14:AA31)</f>
        <v>0</v>
      </c>
      <c r="AB32" s="101" t="n">
        <f aca="false">SUM(AB14:AB31)</f>
        <v>0</v>
      </c>
      <c r="AC32" s="101" t="n">
        <f aca="false">SUM(AC14:AC31)</f>
        <v>0</v>
      </c>
      <c r="AD32" s="101" t="n">
        <f aca="false">SUM(AD14:AD31)</f>
        <v>0</v>
      </c>
      <c r="AE32" s="101" t="n">
        <f aca="false">SUM(AE14:AE31)</f>
        <v>0</v>
      </c>
      <c r="AF32" s="101" t="n">
        <f aca="false">SUM(AF14:AF31)</f>
        <v>0</v>
      </c>
      <c r="AG32" s="101" t="n">
        <f aca="false">SUM(AG14:AG31)</f>
        <v>0</v>
      </c>
      <c r="AH32" s="101" t="n">
        <f aca="false">SUM(AH14:AH31)</f>
        <v>0</v>
      </c>
      <c r="AI32" s="101" t="n">
        <f aca="false">SUM(AI14:AI31)</f>
        <v>0</v>
      </c>
      <c r="AJ32" s="101" t="n">
        <f aca="false">SUM(AJ14:AJ31)</f>
        <v>0</v>
      </c>
      <c r="AK32" s="101" t="n">
        <f aca="false">SUM(AK14:AK31)</f>
        <v>0</v>
      </c>
      <c r="AL32" s="101" t="n">
        <f aca="false">SUM(AL14:AL31)</f>
        <v>0</v>
      </c>
      <c r="AM32" s="101" t="n">
        <f aca="false">SUM(AM14:AM31)</f>
        <v>0</v>
      </c>
      <c r="AN32" s="101" t="n">
        <f aca="false">SUM(AN14:AN31)</f>
        <v>0</v>
      </c>
      <c r="AO32" s="101" t="n">
        <f aca="false">SUM(AO14:AO31)</f>
        <v>0</v>
      </c>
      <c r="AP32" s="101" t="n">
        <f aca="false">SUM(AP14:AP31)</f>
        <v>0</v>
      </c>
    </row>
    <row r="33" customFormat="false" ht="21" hidden="false" customHeight="false" outlineLevel="0" collapsed="false">
      <c r="M33" s="100"/>
      <c r="N33" s="100"/>
      <c r="O33" s="100"/>
      <c r="P33" s="100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</row>
    <row r="34" customFormat="false" ht="21" hidden="false" customHeight="false" outlineLevel="0" collapsed="false">
      <c r="A34" s="103" t="s">
        <v>116</v>
      </c>
      <c r="C34" s="104" t="s">
        <v>117</v>
      </c>
      <c r="D34" s="104"/>
      <c r="E34" s="104"/>
      <c r="H34" s="103" t="s">
        <v>118</v>
      </c>
      <c r="I34" s="2"/>
      <c r="K34" s="104" t="s">
        <v>12</v>
      </c>
      <c r="L34" s="104"/>
      <c r="M34" s="104"/>
      <c r="N34" s="105"/>
    </row>
    <row r="35" customFormat="false" ht="21" hidden="false" customHeight="false" outlineLevel="0" collapsed="false">
      <c r="A35" s="103"/>
      <c r="C35" s="106"/>
      <c r="D35" s="106"/>
      <c r="E35" s="106"/>
    </row>
    <row r="37" s="6" customFormat="true" ht="14.25" hidden="false" customHeight="false" outlineLevel="0" collapsed="false">
      <c r="A37" s="107" t="s">
        <v>119</v>
      </c>
      <c r="B37" s="108" t="s">
        <v>99</v>
      </c>
      <c r="C37" s="108" t="s">
        <v>100</v>
      </c>
      <c r="D37" s="108" t="s">
        <v>101</v>
      </c>
      <c r="E37" s="108" t="s">
        <v>120</v>
      </c>
      <c r="F37" s="108" t="s">
        <v>56</v>
      </c>
      <c r="I37" s="9"/>
    </row>
    <row r="38" s="111" customFormat="true" ht="14.25" hidden="false" customHeight="false" outlineLevel="0" collapsed="false">
      <c r="A38" s="109" t="s">
        <v>99</v>
      </c>
      <c r="B38" s="110" t="n">
        <f aca="false">R32+S32</f>
        <v>0</v>
      </c>
      <c r="C38" s="110" t="n">
        <f aca="false">AK32</f>
        <v>0</v>
      </c>
      <c r="D38" s="110" t="n">
        <f aca="false">Y32</f>
        <v>0</v>
      </c>
      <c r="E38" s="110" t="n">
        <f aca="false">AE32</f>
        <v>0</v>
      </c>
      <c r="F38" s="110" t="n">
        <f aca="false">S32</f>
        <v>0</v>
      </c>
      <c r="I38" s="112"/>
    </row>
    <row r="39" s="111" customFormat="true" ht="14.25" hidden="false" customHeight="false" outlineLevel="0" collapsed="false">
      <c r="A39" s="109" t="s">
        <v>19</v>
      </c>
      <c r="B39" s="110" t="n">
        <f aca="false">T32</f>
        <v>0</v>
      </c>
      <c r="C39" s="110" t="n">
        <f aca="false">AL32</f>
        <v>0</v>
      </c>
      <c r="D39" s="110" t="n">
        <f aca="false">Z32</f>
        <v>0</v>
      </c>
      <c r="E39" s="110" t="n">
        <f aca="false">AF32</f>
        <v>0</v>
      </c>
      <c r="F39" s="113" t="n">
        <v>0</v>
      </c>
      <c r="I39" s="112"/>
    </row>
    <row r="40" s="111" customFormat="true" ht="14.25" hidden="false" customHeight="false" outlineLevel="0" collapsed="false">
      <c r="A40" s="109" t="s">
        <v>17</v>
      </c>
      <c r="B40" s="110" t="n">
        <f aca="false">U32</f>
        <v>0</v>
      </c>
      <c r="C40" s="110" t="n">
        <f aca="false">AM32</f>
        <v>0</v>
      </c>
      <c r="D40" s="110" t="n">
        <f aca="false">AA32</f>
        <v>0</v>
      </c>
      <c r="E40" s="110" t="n">
        <f aca="false">AG32</f>
        <v>0</v>
      </c>
      <c r="F40" s="113" t="n">
        <v>0</v>
      </c>
      <c r="I40" s="112"/>
    </row>
    <row r="41" s="111" customFormat="true" ht="14.25" hidden="false" customHeight="false" outlineLevel="0" collapsed="false">
      <c r="A41" s="109" t="s">
        <v>10</v>
      </c>
      <c r="B41" s="110" t="n">
        <f aca="false">V32</f>
        <v>0</v>
      </c>
      <c r="C41" s="110" t="n">
        <f aca="false">AN32</f>
        <v>0</v>
      </c>
      <c r="D41" s="110" t="n">
        <f aca="false">AB32</f>
        <v>0</v>
      </c>
      <c r="E41" s="110" t="n">
        <f aca="false">AH32</f>
        <v>0</v>
      </c>
      <c r="F41" s="113" t="n">
        <v>0</v>
      </c>
      <c r="I41" s="112"/>
    </row>
    <row r="42" s="111" customFormat="true" ht="14.25" hidden="false" customHeight="false" outlineLevel="0" collapsed="false">
      <c r="A42" s="109" t="s">
        <v>121</v>
      </c>
      <c r="B42" s="110" t="n">
        <f aca="false">W32</f>
        <v>0</v>
      </c>
      <c r="C42" s="110" t="n">
        <f aca="false">AO32</f>
        <v>0</v>
      </c>
      <c r="D42" s="110" t="n">
        <f aca="false">AC32</f>
        <v>0</v>
      </c>
      <c r="E42" s="110" t="n">
        <f aca="false">AI32</f>
        <v>0</v>
      </c>
      <c r="F42" s="113" t="n">
        <v>0</v>
      </c>
      <c r="I42" s="112"/>
    </row>
    <row r="43" s="111" customFormat="true" ht="14.25" hidden="false" customHeight="false" outlineLevel="0" collapsed="false">
      <c r="A43" s="109" t="s">
        <v>122</v>
      </c>
      <c r="B43" s="110" t="n">
        <f aca="false">X32</f>
        <v>0</v>
      </c>
      <c r="C43" s="110" t="n">
        <f aca="false">AP32</f>
        <v>0</v>
      </c>
      <c r="D43" s="110" t="n">
        <f aca="false">AD32</f>
        <v>0</v>
      </c>
      <c r="E43" s="110" t="n">
        <f aca="false">AJ32</f>
        <v>0</v>
      </c>
      <c r="F43" s="113" t="n">
        <v>0</v>
      </c>
      <c r="I43" s="112"/>
    </row>
    <row r="44" customFormat="false" ht="24" hidden="false" customHeight="true" outlineLevel="0" collapsed="false">
      <c r="A44" s="114" t="s">
        <v>123</v>
      </c>
      <c r="B44" s="115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0 Leaves -               </v>
      </c>
      <c r="C44" s="115"/>
      <c r="D44" s="115"/>
      <c r="E44" s="115"/>
      <c r="F44" s="115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5">
      <formula>NOT(ISERROR(SEARCH("Sun",B14)))</formula>
    </cfRule>
    <cfRule type="containsText" priority="3" operator="containsText" aboveAverage="0" equalAverage="0" bottom="0" percent="0" rank="0" text="Sat" dxfId="6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541e897c377404d720a3f23ace967dfc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2f7311a933eded6ab3cfc8cecf73a08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17D080-30B5-4576-B200-DF1A6A685752}">
  <ds:schemaRefs>
    <ds:schemaRef ds:uri="7b2b6e26-33a0-4af2-930c-0c419d3fa434"/>
    <ds:schemaRef ds:uri="http://schemas.microsoft.com/office/2006/metadata/properties"/>
    <ds:schemaRef ds:uri="http://schemas.microsoft.com/office/2006/documentManagement/types"/>
    <ds:schemaRef ds:uri="61cd1ae9-add5-418b-ba01-b098e2ec3b0d"/>
    <ds:schemaRef ds:uri="http://schemas.openxmlformats.org/package/2006/metadata/core-properties"/>
    <ds:schemaRef ds:uri="http://schemas.microsoft.com/sharepoint/v3"/>
    <ds:schemaRef ds:uri="http://purl.org/dc/dcmitype/"/>
    <ds:schemaRef ds:uri="http://purl.org/dc/terms/"/>
    <ds:schemaRef ds:uri="http://schemas.microsoft.com/office/infopath/2007/PartnerControls"/>
    <ds:schemaRef ds:uri="b2eb7b80-a566-4a2c-a026-91b6d1eb6193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2631B50-491A-4B5C-B1F8-098E13A945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371</TotalTime>
  <Application>LibreOffice/7.6.7.2$Windows_X86_64 LibreOffice_project/dd47e4b30cb7dab30588d6c79c651f218165e3c5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dcterms:modified xsi:type="dcterms:W3CDTF">2026-04-23T19:28:14Z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